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15480" windowHeight="6855" firstSheet="15" activeTab="22"/>
  </bookViews>
  <sheets>
    <sheet name="PAGE DE GARDE" sheetId="60" r:id="rId1"/>
    <sheet name="FICHE R1 " sheetId="61" r:id="rId2"/>
    <sheet name="FICHE R2 " sheetId="62" r:id="rId3"/>
    <sheet name="FICHE R3 " sheetId="63" r:id="rId4"/>
    <sheet name="FICHE R4" sheetId="55" r:id="rId5"/>
    <sheet name="ACTIF" sheetId="1" r:id="rId6"/>
    <sheet name="PASSIF" sheetId="2" r:id="rId7"/>
    <sheet name="RESULTAT" sheetId="3" r:id="rId8"/>
    <sheet name="TFT" sheetId="4" r:id="rId9"/>
    <sheet name="NOTE 1" sheetId="5" r:id="rId10"/>
    <sheet name="NOTE 2" sheetId="64" r:id="rId11"/>
    <sheet name="NOTE 3A" sheetId="6" r:id="rId12"/>
    <sheet name="NOTE 3B" sheetId="7" r:id="rId13"/>
    <sheet name="NOTE 3C" sheetId="8" r:id="rId14"/>
    <sheet name="NOTE 3D" sheetId="9" r:id="rId15"/>
    <sheet name="NOTE 3E" sheetId="10" r:id="rId16"/>
    <sheet name="NOTE 4" sheetId="11" r:id="rId17"/>
    <sheet name="NOTE 5" sheetId="12" r:id="rId18"/>
    <sheet name="NOTE 6" sheetId="13" r:id="rId19"/>
    <sheet name="NOTE 7" sheetId="14" r:id="rId20"/>
    <sheet name="NOTE 8" sheetId="15" r:id="rId21"/>
    <sheet name="NOTE 8A" sheetId="16" r:id="rId22"/>
    <sheet name="NOTE 9" sheetId="17" r:id="rId23"/>
    <sheet name="NOTE 10" sheetId="18" r:id="rId24"/>
    <sheet name="NOTE 11" sheetId="20" r:id="rId25"/>
    <sheet name="NOTE 12" sheetId="21" r:id="rId26"/>
    <sheet name="NOTE 13" sheetId="22" r:id="rId27"/>
    <sheet name="NOTE 14" sheetId="23" r:id="rId28"/>
    <sheet name="NOTE 15A" sheetId="24" r:id="rId29"/>
    <sheet name="NOTES 15B" sheetId="25" r:id="rId30"/>
    <sheet name="NOTE 16A" sheetId="26" r:id="rId31"/>
    <sheet name="NOTE 16B" sheetId="27" r:id="rId32"/>
    <sheet name="NOTE 16B bis" sheetId="28" r:id="rId33"/>
    <sheet name="NOTE 16C" sheetId="29" r:id="rId34"/>
    <sheet name="NOTE 17" sheetId="30" r:id="rId35"/>
    <sheet name="NOTE 18" sheetId="54" r:id="rId36"/>
    <sheet name="NOTE 19" sheetId="32" r:id="rId37"/>
    <sheet name="NOTE 20" sheetId="33" r:id="rId38"/>
    <sheet name="NOTE 21" sheetId="34" r:id="rId39"/>
    <sheet name="NOTE 22" sheetId="35" r:id="rId40"/>
    <sheet name="NOTE 23" sheetId="36" r:id="rId41"/>
    <sheet name="NOTE 24" sheetId="37" r:id="rId42"/>
    <sheet name="NOTE 25" sheetId="38" r:id="rId43"/>
    <sheet name="NOTE 26" sheetId="39" r:id="rId44"/>
    <sheet name="NOTE 27A" sheetId="40" r:id="rId45"/>
    <sheet name="NOTE 27B" sheetId="41" r:id="rId46"/>
    <sheet name="NOTE 28" sheetId="68" r:id="rId47"/>
    <sheet name="NOTE 29" sheetId="43" r:id="rId48"/>
    <sheet name="NOTE 30" sheetId="44" r:id="rId49"/>
    <sheet name="NOTE 31" sheetId="47" r:id="rId50"/>
    <sheet name="NOTE 32" sheetId="48" r:id="rId51"/>
    <sheet name="NOTE 33" sheetId="49" r:id="rId52"/>
    <sheet name="NOTE 34" sheetId="45" r:id="rId53"/>
    <sheet name="NOTE 35" sheetId="67" r:id="rId54"/>
    <sheet name="NOTE 36" sheetId="66" r:id="rId55"/>
    <sheet name="CODES" sheetId="65" r:id="rId56"/>
  </sheets>
  <definedNames>
    <definedName name="_centreImpot">"CENTRE DES IMPOTS DE "</definedName>
    <definedName name="_dAn">" 2025"</definedName>
    <definedName name="_dDeb">" 01/01/2025"</definedName>
    <definedName name="_dFin">" 31/12/2025"</definedName>
    <definedName name="_Duree">"Durée (en mois) 12"</definedName>
    <definedName name="_ExerClos">"Exercice clos le 31/12/2025"</definedName>
    <definedName name="_ExerClot">"  31/12/2017"</definedName>
    <definedName name="_ExerFin">" 31/12/2025"</definedName>
    <definedName name="_ExerFin1">" 31/12/2024"</definedName>
    <definedName name="_insae">" "</definedName>
    <definedName name="_Mois">12</definedName>
    <definedName name="_nbMois">12</definedName>
    <definedName name="_nCompletPays">"REPUBLIQUE DU BENIN"</definedName>
    <definedName name="_nSo">"Cecotra"</definedName>
    <definedName name="_Pays">"REPUBLIQUE DU BENIN"</definedName>
    <definedName name="_regCom">"RB/ABC/18 B 2310"</definedName>
    <definedName name="_sigle">" "</definedName>
    <definedName name="_soAdr">" "</definedName>
    <definedName name="_soAg1">" "</definedName>
    <definedName name="_soAg2">" "</definedName>
    <definedName name="_soId">" 3201810353457"</definedName>
    <definedName name="_soNom">"Cecotra"</definedName>
    <definedName name="_soNumFisc">" 3201810353457"</definedName>
    <definedName name="_soSigle">" "</definedName>
    <definedName name="_sTabExer">"Tableau financiers au 31/12/2025"</definedName>
    <definedName name="_Ville">"CENTRE DES IMPÔTS DE COTONOU"</definedName>
    <definedName name="numFisc">" 3201810353457"</definedName>
    <definedName name="Print_Area" localSheetId="3">'FICHE R3 '!$A$1:$F$36</definedName>
    <definedName name="Print_Area" localSheetId="28">'NOTE 15A'!$A$1:$H$36</definedName>
    <definedName name="Print_Area" localSheetId="48">'NOTE 30'!$A$1:$D$41</definedName>
    <definedName name="Print_Area" localSheetId="15">'NOTE 3E'!$A$1:$C$39</definedName>
    <definedName name="Print_Area" localSheetId="16">'NOTE 4'!$A$1:$G$62</definedName>
    <definedName name="Print_Area" localSheetId="17">'NOTE 5'!$A$1:$E$58</definedName>
    <definedName name="tauxImpot">0</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54" l="1"/>
  <c r="F22" i="54"/>
  <c r="F21" i="54"/>
  <c r="F20" i="54"/>
  <c r="F16" i="54"/>
  <c r="F15" i="54"/>
  <c r="F14" i="54"/>
  <c r="F13" i="54"/>
  <c r="F12" i="54"/>
  <c r="F11" i="54"/>
  <c r="E10" i="30"/>
  <c r="C26" i="44"/>
  <c r="B26" i="44"/>
  <c r="C18" i="44"/>
  <c r="B18" i="44"/>
  <c r="D34" i="45"/>
  <c r="E34" i="45" s="1"/>
  <c r="C34" i="45"/>
  <c r="D33" i="45"/>
  <c r="C33" i="45"/>
  <c r="C31" i="45"/>
  <c r="C27" i="45"/>
  <c r="C26" i="45"/>
  <c r="C24" i="45"/>
  <c r="D24" i="45"/>
  <c r="H22" i="6"/>
  <c r="H24" i="6"/>
  <c r="G20" i="6"/>
  <c r="F20" i="6"/>
  <c r="E20" i="6"/>
  <c r="B20" i="6"/>
  <c r="C20" i="6"/>
  <c r="D20" i="6"/>
  <c r="C24" i="37"/>
  <c r="B24" i="37"/>
  <c r="C35" i="35"/>
  <c r="B35" i="35"/>
  <c r="C19" i="35"/>
  <c r="B19" i="35"/>
  <c r="C14" i="35"/>
  <c r="B14" i="35"/>
  <c r="D26" i="43"/>
  <c r="C31" i="43"/>
  <c r="B31" i="43"/>
  <c r="C22" i="33"/>
  <c r="D22" i="33" s="1"/>
  <c r="B22" i="33"/>
  <c r="E52" i="45"/>
  <c r="E19" i="45"/>
  <c r="D11" i="44"/>
  <c r="D12" i="44"/>
  <c r="D13" i="44"/>
  <c r="D14" i="44"/>
  <c r="D15" i="44"/>
  <c r="D16" i="44"/>
  <c r="D17" i="44"/>
  <c r="D20" i="44"/>
  <c r="D21" i="44"/>
  <c r="D22" i="44"/>
  <c r="D23" i="44"/>
  <c r="D24" i="44"/>
  <c r="D25" i="44"/>
  <c r="D10" i="44"/>
  <c r="D23" i="43"/>
  <c r="D24" i="43"/>
  <c r="D25" i="43"/>
  <c r="D27" i="43"/>
  <c r="D28" i="43"/>
  <c r="D29" i="43"/>
  <c r="D30" i="43"/>
  <c r="D22" i="43"/>
  <c r="D11" i="43"/>
  <c r="D12" i="43"/>
  <c r="D13" i="43"/>
  <c r="D14" i="43"/>
  <c r="D15" i="43"/>
  <c r="D16" i="43"/>
  <c r="D17" i="43"/>
  <c r="D18" i="43"/>
  <c r="D19" i="43"/>
  <c r="D12" i="40"/>
  <c r="D13" i="40"/>
  <c r="D14" i="40"/>
  <c r="D15" i="40"/>
  <c r="D16" i="40"/>
  <c r="D11" i="40"/>
  <c r="D11" i="39"/>
  <c r="D12" i="39"/>
  <c r="D13" i="39"/>
  <c r="D14" i="39"/>
  <c r="D15" i="39"/>
  <c r="D16" i="39"/>
  <c r="D17" i="39"/>
  <c r="D10" i="39"/>
  <c r="D12" i="38"/>
  <c r="D13" i="38"/>
  <c r="D14" i="38"/>
  <c r="D15" i="38"/>
  <c r="D11" i="38"/>
  <c r="D11" i="37"/>
  <c r="D12" i="37"/>
  <c r="D13" i="37"/>
  <c r="D14" i="37"/>
  <c r="D15" i="37"/>
  <c r="D16" i="37"/>
  <c r="D17" i="37"/>
  <c r="D18" i="37"/>
  <c r="D19" i="37"/>
  <c r="D20" i="37"/>
  <c r="D21" i="37"/>
  <c r="D22" i="37"/>
  <c r="D23" i="37"/>
  <c r="D10" i="37"/>
  <c r="D11" i="36"/>
  <c r="D12" i="36"/>
  <c r="D13" i="36"/>
  <c r="D14" i="36"/>
  <c r="D10" i="36"/>
  <c r="D12" i="35"/>
  <c r="D13" i="35"/>
  <c r="D16" i="35"/>
  <c r="D17" i="35"/>
  <c r="D18" i="35"/>
  <c r="D21" i="35"/>
  <c r="D22" i="35"/>
  <c r="D23" i="35"/>
  <c r="D24" i="35"/>
  <c r="D25" i="35"/>
  <c r="D26" i="35"/>
  <c r="D27" i="35"/>
  <c r="D28" i="35"/>
  <c r="D29" i="35"/>
  <c r="D30" i="35"/>
  <c r="D31" i="35"/>
  <c r="D32" i="35"/>
  <c r="D33" i="35"/>
  <c r="D34" i="35"/>
  <c r="D11" i="35"/>
  <c r="D14" i="34"/>
  <c r="D15" i="34"/>
  <c r="D16" i="34"/>
  <c r="D18" i="34"/>
  <c r="D19" i="34"/>
  <c r="D20" i="34"/>
  <c r="D21" i="34"/>
  <c r="D22" i="34"/>
  <c r="D23" i="34"/>
  <c r="D24" i="34"/>
  <c r="D26" i="34"/>
  <c r="D27" i="34"/>
  <c r="D28" i="34"/>
  <c r="D34" i="34"/>
  <c r="D35" i="34"/>
  <c r="D36" i="34"/>
  <c r="D13" i="34"/>
  <c r="D18" i="33"/>
  <c r="D19" i="33"/>
  <c r="D20" i="33"/>
  <c r="D21" i="33"/>
  <c r="D17" i="33"/>
  <c r="D13" i="33"/>
  <c r="C14" i="33"/>
  <c r="D14" i="33" s="1"/>
  <c r="B14" i="33"/>
  <c r="D12" i="33"/>
  <c r="E11" i="32"/>
  <c r="E12" i="32"/>
  <c r="E13" i="32"/>
  <c r="E14" i="32"/>
  <c r="E15" i="32"/>
  <c r="E17" i="32"/>
  <c r="E18" i="32"/>
  <c r="E19" i="32"/>
  <c r="E20" i="32"/>
  <c r="E21" i="32"/>
  <c r="E22" i="32"/>
  <c r="E23" i="32"/>
  <c r="E25" i="32"/>
  <c r="E26" i="32"/>
  <c r="E27" i="32"/>
  <c r="E29" i="32"/>
  <c r="D11" i="32"/>
  <c r="D12" i="32"/>
  <c r="D13" i="32"/>
  <c r="D14" i="32"/>
  <c r="D15" i="32"/>
  <c r="D17" i="32"/>
  <c r="D18" i="32"/>
  <c r="D19" i="32"/>
  <c r="D20" i="32"/>
  <c r="D21" i="32"/>
  <c r="D22" i="32"/>
  <c r="D23" i="32"/>
  <c r="D25" i="32"/>
  <c r="D26" i="32"/>
  <c r="D27" i="32"/>
  <c r="D29" i="32"/>
  <c r="D10" i="32"/>
  <c r="E10" i="32"/>
  <c r="D21" i="54"/>
  <c r="D22" i="54"/>
  <c r="D23" i="54"/>
  <c r="E21" i="54"/>
  <c r="E22" i="54"/>
  <c r="E23" i="54"/>
  <c r="E25" i="54"/>
  <c r="E12" i="54"/>
  <c r="E13" i="54"/>
  <c r="E14" i="54"/>
  <c r="E15" i="54"/>
  <c r="E16" i="54"/>
  <c r="D16" i="54"/>
  <c r="D12" i="54"/>
  <c r="D13" i="54"/>
  <c r="D14" i="54"/>
  <c r="D15" i="54"/>
  <c r="D11" i="54"/>
  <c r="E11" i="54"/>
  <c r="D17" i="30"/>
  <c r="D18" i="30"/>
  <c r="D19" i="30"/>
  <c r="D11" i="30"/>
  <c r="D12" i="30"/>
  <c r="D13" i="30"/>
  <c r="D14" i="30"/>
  <c r="D10" i="30"/>
  <c r="E27" i="26"/>
  <c r="E28" i="26"/>
  <c r="E29" i="26"/>
  <c r="E30" i="26"/>
  <c r="E31" i="26"/>
  <c r="E32" i="26"/>
  <c r="E33" i="26"/>
  <c r="E34" i="26"/>
  <c r="E35" i="26"/>
  <c r="E36" i="26"/>
  <c r="E37" i="26"/>
  <c r="E38" i="26"/>
  <c r="E21" i="26"/>
  <c r="E20" i="26"/>
  <c r="E22" i="26"/>
  <c r="E23" i="26"/>
  <c r="E19" i="26"/>
  <c r="E15" i="26"/>
  <c r="E8" i="26"/>
  <c r="E9" i="26"/>
  <c r="E10" i="26"/>
  <c r="E11" i="26"/>
  <c r="E12" i="26"/>
  <c r="E13" i="26"/>
  <c r="E14" i="26"/>
  <c r="E16" i="26"/>
  <c r="E7" i="26"/>
  <c r="D7" i="26"/>
  <c r="F14" i="25"/>
  <c r="F11" i="25"/>
  <c r="F12" i="25"/>
  <c r="F13" i="25"/>
  <c r="F10" i="25"/>
  <c r="E11" i="25"/>
  <c r="E12" i="25"/>
  <c r="E13" i="25"/>
  <c r="E14" i="25"/>
  <c r="E10" i="25"/>
  <c r="F25" i="24"/>
  <c r="F26" i="24"/>
  <c r="F27" i="24"/>
  <c r="F11" i="24"/>
  <c r="F12" i="24"/>
  <c r="F13" i="24"/>
  <c r="F14" i="24"/>
  <c r="F15" i="24"/>
  <c r="F16" i="24"/>
  <c r="F17" i="24"/>
  <c r="F18" i="24"/>
  <c r="F19" i="24"/>
  <c r="F20" i="24"/>
  <c r="F21" i="24"/>
  <c r="F22" i="24"/>
  <c r="F23" i="24"/>
  <c r="F24" i="24"/>
  <c r="F10" i="24"/>
  <c r="E10" i="24"/>
  <c r="E11" i="24"/>
  <c r="E12" i="24"/>
  <c r="E13" i="24"/>
  <c r="E14" i="24"/>
  <c r="E15" i="24"/>
  <c r="E16" i="24"/>
  <c r="E17" i="24"/>
  <c r="E18" i="24"/>
  <c r="E19" i="24"/>
  <c r="E20" i="24"/>
  <c r="E21" i="24"/>
  <c r="E22" i="24"/>
  <c r="E23" i="24"/>
  <c r="E24" i="24"/>
  <c r="E25" i="24"/>
  <c r="E26" i="24"/>
  <c r="E27" i="24"/>
  <c r="E28" i="24"/>
  <c r="E13" i="20"/>
  <c r="E14" i="20"/>
  <c r="E15" i="20"/>
  <c r="E16" i="20"/>
  <c r="E17" i="20"/>
  <c r="E18" i="20"/>
  <c r="E19" i="20"/>
  <c r="E20" i="20"/>
  <c r="E21" i="20"/>
  <c r="E22" i="20"/>
  <c r="E23" i="20"/>
  <c r="E25" i="20"/>
  <c r="E26" i="20"/>
  <c r="E27" i="20"/>
  <c r="E28" i="20"/>
  <c r="D11" i="18"/>
  <c r="D12" i="18"/>
  <c r="D13" i="18"/>
  <c r="D14" i="18"/>
  <c r="D15" i="18"/>
  <c r="D17" i="18"/>
  <c r="D18" i="18"/>
  <c r="D19" i="18"/>
  <c r="D10" i="18"/>
  <c r="D12" i="17"/>
  <c r="D13" i="17"/>
  <c r="D14" i="17"/>
  <c r="D15" i="17"/>
  <c r="D16" i="17"/>
  <c r="D17" i="17"/>
  <c r="D19" i="17"/>
  <c r="D20" i="17"/>
  <c r="D21" i="17"/>
  <c r="D11" i="17"/>
  <c r="D15" i="15"/>
  <c r="D16" i="15"/>
  <c r="D17" i="15"/>
  <c r="D18" i="15"/>
  <c r="D19" i="15"/>
  <c r="D21" i="15"/>
  <c r="D22" i="15"/>
  <c r="D23" i="15"/>
  <c r="D25" i="15"/>
  <c r="D26" i="15"/>
  <c r="D27" i="15"/>
  <c r="D14" i="15"/>
  <c r="D13" i="14"/>
  <c r="D14" i="14"/>
  <c r="D15" i="14"/>
  <c r="D16" i="14"/>
  <c r="D17" i="14"/>
  <c r="D18" i="14"/>
  <c r="D19" i="14"/>
  <c r="D21" i="14"/>
  <c r="D22" i="14"/>
  <c r="D23" i="14"/>
  <c r="D25" i="14"/>
  <c r="D26" i="14"/>
  <c r="D27" i="14"/>
  <c r="D12" i="14"/>
  <c r="D22" i="13"/>
  <c r="D18" i="13"/>
  <c r="E14" i="12"/>
  <c r="E15" i="12"/>
  <c r="E17" i="12"/>
  <c r="E18" i="12"/>
  <c r="E30" i="12"/>
  <c r="E29" i="12"/>
  <c r="E28" i="12"/>
  <c r="E27" i="12"/>
  <c r="D14" i="11"/>
  <c r="D15" i="11"/>
  <c r="D16" i="11"/>
  <c r="D17" i="11"/>
  <c r="D18" i="11"/>
  <c r="D19" i="11"/>
  <c r="D21" i="11"/>
  <c r="D22" i="11"/>
  <c r="D13" i="11"/>
  <c r="D12" i="13"/>
  <c r="D8" i="26"/>
  <c r="D9" i="26"/>
  <c r="D10" i="26"/>
  <c r="D11" i="26"/>
  <c r="D12" i="26"/>
  <c r="D13" i="26"/>
  <c r="D14" i="26"/>
  <c r="D15" i="26"/>
  <c r="D16" i="26"/>
  <c r="E11" i="23"/>
  <c r="E12" i="23"/>
  <c r="E13" i="23"/>
  <c r="E14" i="23"/>
  <c r="E16" i="23"/>
  <c r="E17" i="23"/>
  <c r="E18" i="23"/>
  <c r="E19" i="23"/>
  <c r="E20" i="23"/>
  <c r="E21" i="23"/>
  <c r="E23" i="23"/>
  <c r="E24" i="23"/>
  <c r="E25" i="23"/>
  <c r="E10" i="23"/>
  <c r="D13" i="13"/>
  <c r="D14" i="13"/>
  <c r="D15" i="13"/>
  <c r="D16" i="13"/>
  <c r="D17" i="13"/>
  <c r="D19" i="13"/>
  <c r="G16" i="11"/>
  <c r="G15" i="11"/>
  <c r="G18" i="11"/>
  <c r="G14" i="11"/>
  <c r="F39" i="1"/>
  <c r="F11" i="1"/>
  <c r="AN8" i="61"/>
  <c r="W8" i="61"/>
  <c r="I19" i="4"/>
  <c r="H19" i="4"/>
  <c r="E26" i="2"/>
  <c r="D26" i="2"/>
  <c r="D37" i="2"/>
  <c r="E34" i="2"/>
  <c r="D34" i="2"/>
  <c r="E22" i="2"/>
  <c r="D22" i="2"/>
  <c r="E30" i="1"/>
  <c r="E34" i="1" s="1"/>
  <c r="D30" i="1"/>
  <c r="D34" i="1" s="1"/>
  <c r="E24" i="1"/>
  <c r="D24" i="1"/>
  <c r="E15" i="1"/>
  <c r="D15" i="1"/>
  <c r="D10" i="1"/>
  <c r="E10" i="1"/>
  <c r="H20" i="6" l="1"/>
  <c r="E27" i="2"/>
  <c r="D27" i="2"/>
  <c r="F34" i="1"/>
  <c r="E27" i="1"/>
  <c r="D27" i="1"/>
  <c r="C20" i="13"/>
  <c r="C24" i="13" s="1"/>
  <c r="B20" i="13"/>
  <c r="G28" i="14"/>
  <c r="E28" i="14"/>
  <c r="F28" i="14"/>
  <c r="C28" i="14"/>
  <c r="B28" i="14"/>
  <c r="F24" i="14"/>
  <c r="G24" i="14"/>
  <c r="E24" i="14"/>
  <c r="C24" i="14"/>
  <c r="B24" i="14"/>
  <c r="G23" i="11"/>
  <c r="F23" i="11"/>
  <c r="E23" i="11"/>
  <c r="C23" i="11"/>
  <c r="D23" i="11" s="1"/>
  <c r="B23" i="11"/>
  <c r="B6" i="61"/>
  <c r="K8" i="61"/>
  <c r="C18" i="17"/>
  <c r="B18" i="17"/>
  <c r="B22" i="17" s="1"/>
  <c r="C16" i="18"/>
  <c r="B16" i="18"/>
  <c r="C24" i="21"/>
  <c r="B24" i="21"/>
  <c r="D22" i="23"/>
  <c r="C22" i="23"/>
  <c r="D15" i="23"/>
  <c r="C15" i="23"/>
  <c r="D29" i="24"/>
  <c r="D15" i="25"/>
  <c r="F15" i="25" s="1"/>
  <c r="C15" i="25"/>
  <c r="G24" i="26"/>
  <c r="F24" i="26"/>
  <c r="C24" i="26"/>
  <c r="E24" i="26" s="1"/>
  <c r="B24" i="26"/>
  <c r="C15" i="28"/>
  <c r="B15" i="28"/>
  <c r="C25" i="28"/>
  <c r="D25" i="28"/>
  <c r="E25" i="28"/>
  <c r="B25" i="28"/>
  <c r="F20" i="30"/>
  <c r="G20" i="30"/>
  <c r="E20" i="30"/>
  <c r="C20" i="30"/>
  <c r="B20" i="30"/>
  <c r="G30" i="32"/>
  <c r="G28" i="32"/>
  <c r="H28" i="32"/>
  <c r="F28" i="32"/>
  <c r="E28" i="32"/>
  <c r="G24" i="32"/>
  <c r="H24" i="32"/>
  <c r="F24" i="32"/>
  <c r="E24" i="32"/>
  <c r="G16" i="32"/>
  <c r="H16" i="32"/>
  <c r="H30" i="32" s="1"/>
  <c r="F16" i="32"/>
  <c r="F30" i="32" s="1"/>
  <c r="C16" i="32"/>
  <c r="B16" i="32"/>
  <c r="C24" i="33"/>
  <c r="D24" i="33" s="1"/>
  <c r="B24" i="33"/>
  <c r="C28" i="68"/>
  <c r="D28" i="68"/>
  <c r="E28" i="68"/>
  <c r="F28" i="68"/>
  <c r="G28" i="68"/>
  <c r="H28" i="68"/>
  <c r="I14" i="68"/>
  <c r="F15" i="68"/>
  <c r="G15" i="68"/>
  <c r="G30" i="68" s="1"/>
  <c r="H15" i="68"/>
  <c r="C15" i="68"/>
  <c r="D15" i="68"/>
  <c r="E15" i="68"/>
  <c r="A5" i="67"/>
  <c r="A4" i="67"/>
  <c r="D6" i="45"/>
  <c r="C6" i="45"/>
  <c r="C9" i="44"/>
  <c r="B9" i="44"/>
  <c r="C9" i="43"/>
  <c r="B9" i="43"/>
  <c r="C10" i="40"/>
  <c r="B10" i="40"/>
  <c r="C9" i="39"/>
  <c r="B9" i="39"/>
  <c r="C10" i="38"/>
  <c r="B10" i="38"/>
  <c r="C9" i="37"/>
  <c r="B9" i="37"/>
  <c r="C9" i="36"/>
  <c r="B9" i="36"/>
  <c r="C10" i="35"/>
  <c r="B10" i="35"/>
  <c r="C11" i="34"/>
  <c r="B11" i="34"/>
  <c r="C10" i="33"/>
  <c r="B10" i="33"/>
  <c r="C8" i="32"/>
  <c r="B8" i="32"/>
  <c r="C9" i="54"/>
  <c r="B9" i="54"/>
  <c r="C9" i="30"/>
  <c r="B9" i="30"/>
  <c r="C12" i="29"/>
  <c r="B12" i="29"/>
  <c r="D20" i="28"/>
  <c r="B20" i="28"/>
  <c r="C12" i="28"/>
  <c r="B12" i="28"/>
  <c r="D33" i="27"/>
  <c r="B33" i="27"/>
  <c r="C21" i="27"/>
  <c r="B21" i="27"/>
  <c r="C10" i="27"/>
  <c r="B10" i="27"/>
  <c r="C6" i="26"/>
  <c r="B6" i="26"/>
  <c r="D9" i="25"/>
  <c r="C9" i="25"/>
  <c r="D9" i="24"/>
  <c r="D9" i="23"/>
  <c r="C9" i="23"/>
  <c r="D10" i="20"/>
  <c r="C10" i="20"/>
  <c r="C9" i="18"/>
  <c r="B9" i="18"/>
  <c r="C9" i="17"/>
  <c r="B9" i="17"/>
  <c r="C10" i="15"/>
  <c r="B10" i="15"/>
  <c r="C8" i="14"/>
  <c r="B8" i="14"/>
  <c r="C11" i="13"/>
  <c r="B11" i="13"/>
  <c r="C13" i="12"/>
  <c r="C3" i="45"/>
  <c r="C2" i="45"/>
  <c r="A3" i="45"/>
  <c r="A2" i="45"/>
  <c r="F5" i="49"/>
  <c r="F4" i="49"/>
  <c r="A5" i="49"/>
  <c r="A4" i="49"/>
  <c r="K5" i="48"/>
  <c r="K4" i="48"/>
  <c r="A5" i="48"/>
  <c r="A4" i="48"/>
  <c r="D5" i="47"/>
  <c r="D4" i="47"/>
  <c r="A5" i="47"/>
  <c r="A4" i="47"/>
  <c r="C5" i="44"/>
  <c r="C4" i="44"/>
  <c r="A5" i="44"/>
  <c r="A4" i="44"/>
  <c r="C5" i="43"/>
  <c r="C4" i="43"/>
  <c r="A5" i="43"/>
  <c r="A4" i="43"/>
  <c r="C5" i="36"/>
  <c r="C4" i="36"/>
  <c r="A5" i="36"/>
  <c r="A4" i="36"/>
  <c r="C5" i="37"/>
  <c r="C4" i="37"/>
  <c r="A5" i="37"/>
  <c r="A4" i="37"/>
  <c r="C6" i="38"/>
  <c r="C5" i="38"/>
  <c r="A6" i="38"/>
  <c r="A5" i="38"/>
  <c r="C5" i="39"/>
  <c r="C4" i="39"/>
  <c r="A5" i="39"/>
  <c r="A4" i="39"/>
  <c r="C6" i="40"/>
  <c r="C5" i="40"/>
  <c r="A6" i="40"/>
  <c r="A5" i="40"/>
  <c r="L4" i="41"/>
  <c r="L3" i="41"/>
  <c r="A4" i="41"/>
  <c r="A3" i="41"/>
  <c r="F5" i="68"/>
  <c r="F4" i="68"/>
  <c r="A5" i="68"/>
  <c r="A4" i="68"/>
  <c r="B6" i="35"/>
  <c r="B5" i="35"/>
  <c r="A6" i="35"/>
  <c r="A5" i="35"/>
  <c r="B7" i="34"/>
  <c r="B6" i="34"/>
  <c r="A7" i="34"/>
  <c r="A6" i="34"/>
  <c r="C6" i="33"/>
  <c r="C5" i="33"/>
  <c r="A6" i="33"/>
  <c r="A5" i="33"/>
  <c r="E5" i="32"/>
  <c r="E4" i="32"/>
  <c r="A5" i="32"/>
  <c r="A4" i="32"/>
  <c r="F5" i="54"/>
  <c r="F4" i="54"/>
  <c r="A5" i="54"/>
  <c r="A4" i="54"/>
  <c r="D5" i="30"/>
  <c r="D4" i="30"/>
  <c r="A5" i="30"/>
  <c r="A4" i="30"/>
  <c r="B7" i="29"/>
  <c r="B6" i="29"/>
  <c r="A7" i="29"/>
  <c r="A6" i="29"/>
  <c r="C6" i="28"/>
  <c r="C5" i="28"/>
  <c r="A6" i="28"/>
  <c r="A5" i="28"/>
  <c r="B6" i="27"/>
  <c r="B5" i="27"/>
  <c r="A6" i="27"/>
  <c r="A5" i="27"/>
  <c r="E4" i="26"/>
  <c r="E3" i="26"/>
  <c r="A4" i="26"/>
  <c r="A3" i="26"/>
  <c r="E5" i="25"/>
  <c r="E4" i="25"/>
  <c r="A5" i="25"/>
  <c r="A4" i="25"/>
  <c r="E5" i="24"/>
  <c r="E4" i="24"/>
  <c r="A5" i="24"/>
  <c r="A4" i="24"/>
  <c r="C5" i="23"/>
  <c r="C4" i="23"/>
  <c r="B5" i="23"/>
  <c r="B4" i="23"/>
  <c r="E6" i="22"/>
  <c r="E5" i="22"/>
  <c r="B6" i="22"/>
  <c r="B5" i="22"/>
  <c r="D5" i="21"/>
  <c r="D4" i="21"/>
  <c r="A5" i="21"/>
  <c r="A4" i="21"/>
  <c r="C6" i="20"/>
  <c r="C5" i="20"/>
  <c r="B6" i="20"/>
  <c r="B5" i="20"/>
  <c r="C5" i="18"/>
  <c r="C4" i="18"/>
  <c r="A5" i="18"/>
  <c r="A4" i="18"/>
  <c r="B5" i="17"/>
  <c r="B4" i="17"/>
  <c r="A5" i="17"/>
  <c r="A4" i="17"/>
  <c r="E6" i="15"/>
  <c r="E5" i="15"/>
  <c r="A5" i="15"/>
  <c r="E5" i="14"/>
  <c r="E4" i="14"/>
  <c r="A5" i="14"/>
  <c r="A4" i="14"/>
  <c r="B7" i="13"/>
  <c r="B6" i="13"/>
  <c r="A7" i="13"/>
  <c r="A6" i="13"/>
  <c r="E7" i="16"/>
  <c r="E6" i="16"/>
  <c r="A7" i="16"/>
  <c r="A6" i="16"/>
  <c r="A8" i="10"/>
  <c r="A7" i="10"/>
  <c r="B8" i="10"/>
  <c r="B7" i="10"/>
  <c r="C30" i="68" l="1"/>
  <c r="E15" i="25"/>
  <c r="D24" i="14"/>
  <c r="B28" i="44"/>
  <c r="H30" i="68"/>
  <c r="F30" i="68"/>
  <c r="E30" i="68"/>
  <c r="D30" i="68"/>
  <c r="D24" i="26"/>
  <c r="D26" i="44"/>
  <c r="D18" i="44"/>
  <c r="E16" i="32"/>
  <c r="D20" i="30"/>
  <c r="D28" i="14"/>
  <c r="C28" i="44"/>
  <c r="D28" i="32"/>
  <c r="D24" i="32"/>
  <c r="D16" i="32"/>
  <c r="C30" i="32"/>
  <c r="B30" i="32"/>
  <c r="F29" i="24"/>
  <c r="E29" i="24"/>
  <c r="C20" i="18"/>
  <c r="D20" i="18" s="1"/>
  <c r="D16" i="18"/>
  <c r="C22" i="17"/>
  <c r="D22" i="17" s="1"/>
  <c r="D18" i="17"/>
  <c r="E22" i="23"/>
  <c r="E15" i="23"/>
  <c r="B20" i="18"/>
  <c r="D20" i="13"/>
  <c r="B24" i="13"/>
  <c r="D24" i="13" s="1"/>
  <c r="E7" i="9"/>
  <c r="E6" i="9"/>
  <c r="B7" i="9"/>
  <c r="B6" i="9"/>
  <c r="D6" i="8"/>
  <c r="D5" i="8"/>
  <c r="A6" i="8"/>
  <c r="A5" i="8"/>
  <c r="E6" i="7"/>
  <c r="E5" i="7"/>
  <c r="A6" i="7"/>
  <c r="A5" i="7"/>
  <c r="E6" i="6"/>
  <c r="E5" i="6"/>
  <c r="A6" i="6"/>
  <c r="A5" i="6"/>
  <c r="E6" i="64"/>
  <c r="E5" i="64"/>
  <c r="B6" i="64"/>
  <c r="B5" i="64"/>
  <c r="D5" i="5"/>
  <c r="D6" i="5"/>
  <c r="A6" i="5"/>
  <c r="A5" i="5"/>
  <c r="I9" i="4"/>
  <c r="H9" i="4"/>
  <c r="G6" i="4"/>
  <c r="G5" i="4"/>
  <c r="B6" i="4"/>
  <c r="B5" i="4"/>
  <c r="F6" i="3"/>
  <c r="E6" i="3"/>
  <c r="D3" i="3"/>
  <c r="D4" i="3"/>
  <c r="A4" i="3"/>
  <c r="A3" i="3"/>
  <c r="C4" i="55"/>
  <c r="C3" i="55"/>
  <c r="A4" i="55"/>
  <c r="A3" i="55"/>
  <c r="E34" i="60"/>
  <c r="E25" i="60"/>
  <c r="G20" i="60"/>
  <c r="E9" i="2"/>
  <c r="D9" i="2"/>
  <c r="D7" i="2"/>
  <c r="D6" i="2"/>
  <c r="A7" i="2"/>
  <c r="A6" i="2"/>
  <c r="E5" i="1"/>
  <c r="E4" i="1"/>
  <c r="A5" i="1"/>
  <c r="A4" i="1"/>
  <c r="G7" i="1"/>
  <c r="D7" i="1"/>
  <c r="F7" i="63"/>
  <c r="F6" i="63"/>
  <c r="B7" i="63"/>
  <c r="B6" i="63"/>
  <c r="K6" i="62"/>
  <c r="C7" i="12"/>
  <c r="C6" i="12"/>
  <c r="A7" i="12"/>
  <c r="A6" i="12"/>
  <c r="C11" i="11"/>
  <c r="B11" i="11"/>
  <c r="D31" i="12"/>
  <c r="E31" i="12" s="1"/>
  <c r="C31" i="12"/>
  <c r="D26" i="12"/>
  <c r="C26" i="12"/>
  <c r="D13" i="12"/>
  <c r="D19" i="12"/>
  <c r="E19" i="12" s="1"/>
  <c r="C19" i="12"/>
  <c r="D16" i="12"/>
  <c r="E16" i="12" s="1"/>
  <c r="C16" i="12"/>
  <c r="E7" i="11"/>
  <c r="E6" i="11"/>
  <c r="A7" i="11"/>
  <c r="A6" i="11"/>
  <c r="D28" i="44" l="1"/>
  <c r="E30" i="32"/>
  <c r="D30" i="32"/>
  <c r="F28" i="9" l="1"/>
  <c r="D28" i="9"/>
  <c r="C28" i="9"/>
  <c r="E28" i="9" s="1"/>
  <c r="F25" i="9"/>
  <c r="D25" i="9"/>
  <c r="C25" i="9"/>
  <c r="E25" i="9" s="1"/>
  <c r="D19" i="9"/>
  <c r="D30" i="9" s="1"/>
  <c r="F19" i="9"/>
  <c r="C19" i="9"/>
  <c r="C29" i="7"/>
  <c r="D29" i="7"/>
  <c r="E29" i="7"/>
  <c r="F29" i="7"/>
  <c r="G29" i="7"/>
  <c r="H29" i="7"/>
  <c r="C23" i="7"/>
  <c r="C31" i="7" s="1"/>
  <c r="D23" i="7"/>
  <c r="E23" i="7"/>
  <c r="F23" i="7"/>
  <c r="F31" i="7" s="1"/>
  <c r="G23" i="7"/>
  <c r="G31" i="7" s="1"/>
  <c r="H23" i="7"/>
  <c r="C28" i="6"/>
  <c r="B28" i="6"/>
  <c r="F45" i="5"/>
  <c r="E45" i="5"/>
  <c r="D35" i="5"/>
  <c r="E35" i="5"/>
  <c r="F35" i="5"/>
  <c r="C35" i="5"/>
  <c r="D24" i="5"/>
  <c r="E24" i="5"/>
  <c r="F24" i="5"/>
  <c r="C24" i="5"/>
  <c r="D17" i="5"/>
  <c r="D36" i="5" s="1"/>
  <c r="E17" i="5"/>
  <c r="E36" i="5" s="1"/>
  <c r="F17" i="5"/>
  <c r="F36" i="5" s="1"/>
  <c r="C17" i="5"/>
  <c r="C36" i="5" s="1"/>
  <c r="E31" i="7" l="1"/>
  <c r="I29" i="7"/>
  <c r="H31" i="7"/>
  <c r="D31" i="7"/>
  <c r="C30" i="9"/>
  <c r="I31" i="7"/>
  <c r="G25" i="9"/>
  <c r="G28" i="9"/>
  <c r="I23" i="7"/>
  <c r="E19" i="9"/>
  <c r="E30" i="9" s="1"/>
  <c r="F30" i="9"/>
  <c r="G19" i="9" l="1"/>
  <c r="G30" i="9" s="1"/>
  <c r="C20" i="43" l="1"/>
  <c r="D10" i="43"/>
  <c r="I13" i="68"/>
  <c r="B28" i="68"/>
  <c r="I22" i="68"/>
  <c r="I21" i="68"/>
  <c r="I20" i="68"/>
  <c r="I19" i="68"/>
  <c r="I18" i="68"/>
  <c r="I17" i="68"/>
  <c r="I28" i="68" l="1"/>
  <c r="C33" i="43"/>
  <c r="D31" i="43"/>
  <c r="B15" i="68"/>
  <c r="I15" i="68" s="1"/>
  <c r="I12" i="68"/>
  <c r="I30" i="68" l="1"/>
  <c r="B30" i="68"/>
  <c r="D24" i="37"/>
  <c r="B18" i="40"/>
  <c r="C18" i="40"/>
  <c r="C19" i="39"/>
  <c r="B19" i="39"/>
  <c r="C16" i="38"/>
  <c r="B16" i="38"/>
  <c r="C15" i="36"/>
  <c r="B15" i="36"/>
  <c r="D35" i="35"/>
  <c r="D19" i="35"/>
  <c r="D14" i="35"/>
  <c r="D37" i="34"/>
  <c r="D31" i="34"/>
  <c r="D25" i="34"/>
  <c r="B29" i="34"/>
  <c r="C17" i="34"/>
  <c r="D17" i="34" s="1"/>
  <c r="B17" i="34"/>
  <c r="C17" i="54"/>
  <c r="H24" i="54"/>
  <c r="F17" i="54"/>
  <c r="G17" i="54"/>
  <c r="H17" i="54"/>
  <c r="B17" i="54"/>
  <c r="G15" i="30"/>
  <c r="B39" i="26"/>
  <c r="H14" i="26"/>
  <c r="F8" i="26"/>
  <c r="C17" i="26"/>
  <c r="E17" i="26" s="1"/>
  <c r="F17" i="26"/>
  <c r="E26" i="23"/>
  <c r="F24" i="22"/>
  <c r="G24" i="22"/>
  <c r="E24" i="15"/>
  <c r="E28" i="15" s="1"/>
  <c r="G24" i="15"/>
  <c r="G28" i="15" s="1"/>
  <c r="G20" i="14"/>
  <c r="E20" i="11"/>
  <c r="F20" i="11"/>
  <c r="D18" i="40" l="1"/>
  <c r="D19" i="39"/>
  <c r="D16" i="38"/>
  <c r="D15" i="36"/>
  <c r="E17" i="54"/>
  <c r="F20" i="15"/>
  <c r="D20" i="15"/>
  <c r="B33" i="34"/>
  <c r="D17" i="54"/>
  <c r="D24" i="20"/>
  <c r="E12" i="20"/>
  <c r="E19" i="54"/>
  <c r="C24" i="20"/>
  <c r="B24" i="15"/>
  <c r="D38" i="34"/>
  <c r="F16" i="15"/>
  <c r="C29" i="34"/>
  <c r="C20" i="11"/>
  <c r="G20" i="11"/>
  <c r="B20" i="11"/>
  <c r="H26" i="54"/>
  <c r="E21" i="8"/>
  <c r="E23" i="8"/>
  <c r="E25" i="8"/>
  <c r="E20" i="8"/>
  <c r="E26" i="8"/>
  <c r="E22" i="8"/>
  <c r="C19" i="8"/>
  <c r="D27" i="8"/>
  <c r="B27" i="8"/>
  <c r="E17" i="8"/>
  <c r="E18" i="8"/>
  <c r="E15" i="8"/>
  <c r="D19" i="8"/>
  <c r="B19" i="8"/>
  <c r="E24" i="20" l="1"/>
  <c r="F24" i="15"/>
  <c r="F28" i="15" s="1"/>
  <c r="D20" i="11"/>
  <c r="B40" i="34"/>
  <c r="C33" i="34"/>
  <c r="D29" i="34"/>
  <c r="C39" i="26"/>
  <c r="E26" i="26"/>
  <c r="C24" i="54"/>
  <c r="E20" i="54"/>
  <c r="B29" i="8"/>
  <c r="D29" i="8"/>
  <c r="C24" i="15"/>
  <c r="B28" i="15"/>
  <c r="C27" i="8"/>
  <c r="C29" i="8" s="1"/>
  <c r="D26" i="26"/>
  <c r="E16" i="8"/>
  <c r="E19" i="8" s="1"/>
  <c r="E24" i="8"/>
  <c r="E27" i="8" s="1"/>
  <c r="C31" i="6"/>
  <c r="D31" i="6"/>
  <c r="E31" i="6"/>
  <c r="F31" i="6"/>
  <c r="G31" i="6"/>
  <c r="B31" i="6"/>
  <c r="D28" i="6"/>
  <c r="E28" i="6"/>
  <c r="F28" i="6"/>
  <c r="G28" i="6"/>
  <c r="D15" i="6"/>
  <c r="E15" i="6"/>
  <c r="F15" i="6"/>
  <c r="G15" i="6"/>
  <c r="B15" i="6"/>
  <c r="D49" i="45"/>
  <c r="E49" i="45" s="1"/>
  <c r="C49" i="45"/>
  <c r="D48" i="45"/>
  <c r="E48" i="45" s="1"/>
  <c r="D32" i="45"/>
  <c r="D29" i="45"/>
  <c r="C21" i="47"/>
  <c r="C10" i="47"/>
  <c r="D10" i="47"/>
  <c r="E10" i="47"/>
  <c r="F10" i="47"/>
  <c r="B10" i="47"/>
  <c r="J27" i="41"/>
  <c r="D27" i="41"/>
  <c r="E27" i="41"/>
  <c r="F27" i="41"/>
  <c r="G27" i="41"/>
  <c r="H27" i="41"/>
  <c r="I27" i="41"/>
  <c r="K27" i="41"/>
  <c r="P13" i="41"/>
  <c r="P14" i="41"/>
  <c r="P15" i="41"/>
  <c r="P12" i="41"/>
  <c r="K16" i="41"/>
  <c r="K18" i="41" s="1"/>
  <c r="L16" i="41"/>
  <c r="L18" i="41" s="1"/>
  <c r="M16" i="41"/>
  <c r="M18" i="41" s="1"/>
  <c r="N16" i="41"/>
  <c r="N18" i="41" s="1"/>
  <c r="O16" i="41"/>
  <c r="O18" i="41" s="1"/>
  <c r="J16" i="41"/>
  <c r="J18" i="41" s="1"/>
  <c r="I13" i="41"/>
  <c r="I14" i="41"/>
  <c r="I15" i="41"/>
  <c r="I12" i="41"/>
  <c r="D16" i="41"/>
  <c r="D18" i="41" s="1"/>
  <c r="E16" i="41"/>
  <c r="E32" i="41" s="1"/>
  <c r="F16" i="41"/>
  <c r="G16" i="41"/>
  <c r="G32" i="41" s="1"/>
  <c r="H16" i="41"/>
  <c r="H32" i="41" s="1"/>
  <c r="C16" i="41"/>
  <c r="C18" i="41" s="1"/>
  <c r="F32" i="41" l="1"/>
  <c r="C28" i="15"/>
  <c r="D28" i="15" s="1"/>
  <c r="D24" i="15"/>
  <c r="C26" i="54"/>
  <c r="E39" i="26"/>
  <c r="D39" i="26"/>
  <c r="C40" i="34"/>
  <c r="D40" i="34" s="1"/>
  <c r="D33" i="34"/>
  <c r="D50" i="45"/>
  <c r="E50" i="45" s="1"/>
  <c r="G18" i="41"/>
  <c r="E18" i="41"/>
  <c r="C32" i="41"/>
  <c r="H18" i="41"/>
  <c r="F18" i="41"/>
  <c r="D32" i="41"/>
  <c r="E29" i="8"/>
  <c r="F34" i="6"/>
  <c r="H28" i="6"/>
  <c r="H31" i="6"/>
  <c r="D34" i="6"/>
  <c r="E34" i="6"/>
  <c r="G34" i="6"/>
  <c r="H15" i="6"/>
  <c r="C15" i="6"/>
  <c r="P16" i="41"/>
  <c r="P18" i="41" s="1"/>
  <c r="I16" i="41"/>
  <c r="I32" i="41" l="1"/>
  <c r="I18" i="41"/>
  <c r="C34" i="6"/>
  <c r="F12" i="14"/>
  <c r="F20" i="14" s="1"/>
  <c r="B20" i="14" l="1"/>
  <c r="D57" i="45"/>
  <c r="E20" i="14" l="1"/>
  <c r="C20" i="14"/>
  <c r="D20" i="14" s="1"/>
  <c r="C15" i="30" l="1"/>
  <c r="C29" i="45"/>
  <c r="F15" i="30" l="1"/>
  <c r="D19" i="54"/>
  <c r="B17" i="26"/>
  <c r="B15" i="30"/>
  <c r="D15" i="30" s="1"/>
  <c r="E15" i="30"/>
  <c r="C32" i="45"/>
  <c r="I38" i="4"/>
  <c r="D20" i="54" l="1"/>
  <c r="F19" i="54"/>
  <c r="D17" i="26"/>
  <c r="G30" i="1"/>
  <c r="D45" i="45" s="1"/>
  <c r="G17" i="26" l="1"/>
  <c r="H8" i="26"/>
  <c r="H17" i="26" s="1"/>
  <c r="G34" i="1"/>
  <c r="G15" i="1"/>
  <c r="H38" i="4" l="1"/>
  <c r="H33" i="4"/>
  <c r="H39" i="4" l="1"/>
  <c r="C58" i="45" s="1"/>
  <c r="F29" i="1"/>
  <c r="F22" i="1" l="1"/>
  <c r="E47" i="3" l="1"/>
  <c r="C17" i="45" l="1"/>
  <c r="H27" i="4"/>
  <c r="C57" i="45" s="1"/>
  <c r="E57" i="45" s="1"/>
  <c r="F12" i="1" l="1"/>
  <c r="E16" i="3"/>
  <c r="F13" i="1"/>
  <c r="E30" i="3" l="1"/>
  <c r="C12" i="45" s="1"/>
  <c r="C10" i="45"/>
  <c r="F18" i="1"/>
  <c r="E32" i="3" l="1"/>
  <c r="E41" i="3"/>
  <c r="E35" i="3" l="1"/>
  <c r="E42" i="3" s="1"/>
  <c r="C37" i="45"/>
  <c r="C13" i="45"/>
  <c r="C20" i="45" s="1"/>
  <c r="C23" i="45" s="1"/>
  <c r="C15" i="45"/>
  <c r="I33" i="4"/>
  <c r="E19" i="4"/>
  <c r="C35" i="45" l="1"/>
  <c r="C14" i="45"/>
  <c r="B20" i="43"/>
  <c r="D20" i="43" s="1"/>
  <c r="E50" i="3"/>
  <c r="C38" i="45" s="1"/>
  <c r="C16" i="45"/>
  <c r="D58" i="45"/>
  <c r="E58" i="45" s="1"/>
  <c r="Y42" i="62"/>
  <c r="C18" i="45" l="1"/>
  <c r="F16" i="3"/>
  <c r="E12" i="3"/>
  <c r="C11" i="45" s="1"/>
  <c r="F12" i="3"/>
  <c r="D11" i="45" s="1"/>
  <c r="E11" i="45" s="1"/>
  <c r="F41" i="3"/>
  <c r="D15" i="45" s="1"/>
  <c r="E15" i="45" s="1"/>
  <c r="F47" i="3"/>
  <c r="D17" i="45" s="1"/>
  <c r="E17" i="45" s="1"/>
  <c r="E37" i="2"/>
  <c r="D46" i="45"/>
  <c r="E38" i="1"/>
  <c r="G38" i="1"/>
  <c r="D38" i="1"/>
  <c r="G24" i="1"/>
  <c r="D47" i="45" l="1"/>
  <c r="B33" i="43"/>
  <c r="D33" i="43" s="1"/>
  <c r="D61" i="45"/>
  <c r="D41" i="45"/>
  <c r="E41" i="45" s="1"/>
  <c r="D62" i="45"/>
  <c r="D54" i="45"/>
  <c r="C61" i="45"/>
  <c r="C41" i="45"/>
  <c r="F30" i="3"/>
  <c r="C18" i="47"/>
  <c r="D10" i="45"/>
  <c r="E10" i="45" s="1"/>
  <c r="F36" i="1"/>
  <c r="F37" i="1"/>
  <c r="F35" i="1"/>
  <c r="F31" i="1"/>
  <c r="F32" i="1"/>
  <c r="F33" i="1"/>
  <c r="F28" i="1"/>
  <c r="C48" i="45" s="1"/>
  <c r="C50" i="45" s="1"/>
  <c r="F26" i="1"/>
  <c r="F25" i="1"/>
  <c r="G10" i="1"/>
  <c r="F21" i="1"/>
  <c r="F23" i="1"/>
  <c r="F20" i="1"/>
  <c r="F16" i="1"/>
  <c r="E40" i="1"/>
  <c r="F14" i="1"/>
  <c r="E61" i="45" l="1"/>
  <c r="D51" i="45"/>
  <c r="F30" i="1"/>
  <c r="F24" i="1"/>
  <c r="F15" i="1"/>
  <c r="D63" i="45"/>
  <c r="G27" i="1"/>
  <c r="F32" i="3"/>
  <c r="D37" i="45" s="1"/>
  <c r="E37" i="45" s="1"/>
  <c r="D12" i="45"/>
  <c r="E12" i="45" s="1"/>
  <c r="H20" i="4"/>
  <c r="D19" i="4"/>
  <c r="D40" i="1"/>
  <c r="F10" i="1"/>
  <c r="F38" i="1"/>
  <c r="D43" i="45" l="1"/>
  <c r="G40" i="1"/>
  <c r="F27" i="1"/>
  <c r="H40" i="4"/>
  <c r="C56" i="45"/>
  <c r="C59" i="45" s="1"/>
  <c r="E39" i="2"/>
  <c r="D40" i="45"/>
  <c r="C62" i="45"/>
  <c r="E62" i="45" s="1"/>
  <c r="C54" i="45"/>
  <c r="E54" i="45" s="1"/>
  <c r="C45" i="45"/>
  <c r="E45" i="45" s="1"/>
  <c r="F35" i="3"/>
  <c r="D13" i="45"/>
  <c r="E13" i="45" s="1"/>
  <c r="D42" i="45" l="1"/>
  <c r="C63" i="45"/>
  <c r="E63" i="45" s="1"/>
  <c r="D20" i="45"/>
  <c r="D23" i="45" s="1"/>
  <c r="D14" i="45"/>
  <c r="E14" i="45" s="1"/>
  <c r="C19" i="47"/>
  <c r="F42" i="3"/>
  <c r="F40" i="1"/>
  <c r="C43" i="45"/>
  <c r="E43" i="45" s="1"/>
  <c r="D44" i="45" l="1"/>
  <c r="D53" i="45" s="1"/>
  <c r="D35" i="45"/>
  <c r="E35" i="45" s="1"/>
  <c r="E33" i="45"/>
  <c r="F50" i="3"/>
  <c r="D38" i="45" s="1"/>
  <c r="E38" i="45" s="1"/>
  <c r="D16" i="45"/>
  <c r="E16" i="45" s="1"/>
  <c r="I20" i="4"/>
  <c r="C22" i="47" l="1"/>
  <c r="D18" i="45"/>
  <c r="E18" i="45" s="1"/>
  <c r="H41" i="4"/>
  <c r="D56" i="45"/>
  <c r="E56" i="45" s="1"/>
  <c r="D59" i="45" l="1"/>
  <c r="E59" i="45" s="1"/>
  <c r="C46" i="45"/>
  <c r="E46" i="45" s="1"/>
  <c r="B24" i="54"/>
  <c r="E24" i="54" s="1"/>
  <c r="B26" i="54" l="1"/>
  <c r="D24" i="54"/>
  <c r="D39" i="2"/>
  <c r="C40" i="45"/>
  <c r="E40" i="45" s="1"/>
  <c r="G24" i="54"/>
  <c r="G26" i="54" s="1"/>
  <c r="F24" i="54"/>
  <c r="F26" i="54" s="1"/>
  <c r="C47" i="45"/>
  <c r="E47" i="45" s="1"/>
  <c r="D26" i="54" l="1"/>
  <c r="E26" i="54"/>
  <c r="C42" i="45"/>
  <c r="C51" i="45"/>
  <c r="E51" i="45" s="1"/>
  <c r="C44" i="45" l="1"/>
  <c r="E44" i="45" s="1"/>
  <c r="E42" i="45"/>
  <c r="B34" i="6"/>
  <c r="H34" i="6"/>
  <c r="C53" i="45" l="1"/>
  <c r="E53" i="45" s="1"/>
</calcChain>
</file>

<file path=xl/sharedStrings.xml><?xml version="1.0" encoding="utf-8"?>
<sst xmlns="http://schemas.openxmlformats.org/spreadsheetml/2006/main" count="2475" uniqueCount="1702">
  <si>
    <t xml:space="preserve"> </t>
  </si>
  <si>
    <t xml:space="preserve">ACTIF </t>
  </si>
  <si>
    <t xml:space="preserve">Note  </t>
  </si>
  <si>
    <t xml:space="preserve">BRUT </t>
  </si>
  <si>
    <t xml:space="preserve">NET </t>
  </si>
  <si>
    <t>AD</t>
  </si>
  <si>
    <t xml:space="preserve">IMMOBILISATIONS INCORPORELLES </t>
  </si>
  <si>
    <t xml:space="preserve">  </t>
  </si>
  <si>
    <t>AE</t>
  </si>
  <si>
    <t xml:space="preserve">Frais de développement et de prospection </t>
  </si>
  <si>
    <t>AF</t>
  </si>
  <si>
    <t xml:space="preserve">Brevets, licences, logiciels, et  droits similaires </t>
  </si>
  <si>
    <t>AG</t>
  </si>
  <si>
    <t xml:space="preserve">Fonds commercial et droit au bail </t>
  </si>
  <si>
    <t>AH</t>
  </si>
  <si>
    <t xml:space="preserve">Autres immobilisations incorporelles </t>
  </si>
  <si>
    <t>AI</t>
  </si>
  <si>
    <t xml:space="preserve">IMMOBILISATIONS CORPORELLES </t>
  </si>
  <si>
    <t>AJ</t>
  </si>
  <si>
    <t xml:space="preserve">Terrains (1)                                                               </t>
  </si>
  <si>
    <t xml:space="preserve">(1) dont Placement en  Net………../………… </t>
  </si>
  <si>
    <t xml:space="preserve">AK </t>
  </si>
  <si>
    <t xml:space="preserve">Bâtiments                                                                  </t>
  </si>
  <si>
    <t xml:space="preserve">(1) dont Placement en  Net…........./…...…........ </t>
  </si>
  <si>
    <t xml:space="preserve">AL </t>
  </si>
  <si>
    <t xml:space="preserve">Aménagements, agencements et installations </t>
  </si>
  <si>
    <t xml:space="preserve">AM </t>
  </si>
  <si>
    <t xml:space="preserve">Matériel, mobilier et actifs biologiques </t>
  </si>
  <si>
    <t xml:space="preserve">AN </t>
  </si>
  <si>
    <t xml:space="preserve">Matériel de transport </t>
  </si>
  <si>
    <t xml:space="preserve">AP </t>
  </si>
  <si>
    <t xml:space="preserve">Avances et acomptes versés sur immobilisations </t>
  </si>
  <si>
    <t xml:space="preserve">AQ </t>
  </si>
  <si>
    <t xml:space="preserve">IMMOBILISATIONS FINANCIERES </t>
  </si>
  <si>
    <t xml:space="preserve">AR </t>
  </si>
  <si>
    <t xml:space="preserve">Titres de participation </t>
  </si>
  <si>
    <t xml:space="preserve">AS </t>
  </si>
  <si>
    <t xml:space="preserve">Autres immobilisations financières </t>
  </si>
  <si>
    <t xml:space="preserve">AZ </t>
  </si>
  <si>
    <t xml:space="preserve">TOTAL ACTIF IMMOBILISE </t>
  </si>
  <si>
    <t xml:space="preserve">BA </t>
  </si>
  <si>
    <t xml:space="preserve">ACTIF CIRCULANT HAO </t>
  </si>
  <si>
    <t xml:space="preserve">BB </t>
  </si>
  <si>
    <t xml:space="preserve">STOCKS ET ENCOURS </t>
  </si>
  <si>
    <t xml:space="preserve">BG </t>
  </si>
  <si>
    <t xml:space="preserve">CREANCES ET EMPLOIS ASSIMILES </t>
  </si>
  <si>
    <t xml:space="preserve">BH </t>
  </si>
  <si>
    <t xml:space="preserve">Fournisseurs avances versées </t>
  </si>
  <si>
    <t xml:space="preserve">BI </t>
  </si>
  <si>
    <t xml:space="preserve">Clients </t>
  </si>
  <si>
    <t xml:space="preserve">BJ </t>
  </si>
  <si>
    <t xml:space="preserve">Autres créances </t>
  </si>
  <si>
    <t xml:space="preserve">BK </t>
  </si>
  <si>
    <t xml:space="preserve">TOTAL ACTIF CIRCULANT </t>
  </si>
  <si>
    <t xml:space="preserve">BQ </t>
  </si>
  <si>
    <t xml:space="preserve">Titres de placement </t>
  </si>
  <si>
    <t xml:space="preserve">BR </t>
  </si>
  <si>
    <t xml:space="preserve">Valeurs à encaisser  </t>
  </si>
  <si>
    <t xml:space="preserve">BS </t>
  </si>
  <si>
    <t xml:space="preserve">Banques, chèques postaux, caisse et assimilés </t>
  </si>
  <si>
    <t xml:space="preserve">BT </t>
  </si>
  <si>
    <t xml:space="preserve">TOTAL TRESORERIE-ACTIF </t>
  </si>
  <si>
    <t xml:space="preserve">BU </t>
  </si>
  <si>
    <t xml:space="preserve">BZ </t>
  </si>
  <si>
    <t xml:space="preserve">TOTAL GENERAL </t>
  </si>
  <si>
    <r>
      <t xml:space="preserve"> </t>
    </r>
    <r>
      <rPr>
        <b/>
        <sz val="10"/>
        <color rgb="FFFFFFFF"/>
        <rFont val="Arial"/>
        <family val="2"/>
      </rPr>
      <t xml:space="preserve">REF </t>
    </r>
  </si>
  <si>
    <r>
      <t xml:space="preserve">Ecart de </t>
    </r>
    <r>
      <rPr>
        <sz val="9"/>
        <color rgb="FF0D0D0D"/>
        <rFont val="Arial"/>
        <family val="2"/>
      </rPr>
      <t>conversion-Actif</t>
    </r>
    <r>
      <rPr>
        <sz val="9"/>
        <color rgb="FF000000"/>
        <rFont val="Arial"/>
        <family val="2"/>
      </rPr>
      <t xml:space="preserve"> </t>
    </r>
  </si>
  <si>
    <t xml:space="preserve">AMORT ET DEPREC </t>
  </si>
  <si>
    <t xml:space="preserve">REF </t>
  </si>
  <si>
    <t xml:space="preserve">PASSIF </t>
  </si>
  <si>
    <t xml:space="preserve">CA </t>
  </si>
  <si>
    <t xml:space="preserve">Capital  </t>
  </si>
  <si>
    <t xml:space="preserve">CB </t>
  </si>
  <si>
    <t xml:space="preserve">Apporteurs capital non appelé          (-) </t>
  </si>
  <si>
    <t xml:space="preserve">CD </t>
  </si>
  <si>
    <t xml:space="preserve">Primes liées au capital social </t>
  </si>
  <si>
    <t xml:space="preserve">CE </t>
  </si>
  <si>
    <t xml:space="preserve">Ecarts de réévaluation </t>
  </si>
  <si>
    <t xml:space="preserve">3e </t>
  </si>
  <si>
    <t xml:space="preserve">CF </t>
  </si>
  <si>
    <t xml:space="preserve">Réserves indisponibles </t>
  </si>
  <si>
    <t xml:space="preserve">CG </t>
  </si>
  <si>
    <t xml:space="preserve">Réserves libres </t>
  </si>
  <si>
    <t xml:space="preserve">CH </t>
  </si>
  <si>
    <t xml:space="preserve">Report à nouveau                         (+ ou -)  </t>
  </si>
  <si>
    <t xml:space="preserve">CJ </t>
  </si>
  <si>
    <t xml:space="preserve">Résultat net de l'exercice (bénéfice + ou perte -) </t>
  </si>
  <si>
    <t xml:space="preserve">CL </t>
  </si>
  <si>
    <t xml:space="preserve">Subventions d'investissement </t>
  </si>
  <si>
    <t xml:space="preserve">CM </t>
  </si>
  <si>
    <t xml:space="preserve">Provisions réglementées </t>
  </si>
  <si>
    <t xml:space="preserve">CP </t>
  </si>
  <si>
    <t xml:space="preserve">TOTAL CAPITAUX PROPRES ET RESSOURCES ASSIMILEES </t>
  </si>
  <si>
    <t xml:space="preserve">DA </t>
  </si>
  <si>
    <t xml:space="preserve">Emprunts et dettes financières diverses </t>
  </si>
  <si>
    <t xml:space="preserve">DB </t>
  </si>
  <si>
    <t xml:space="preserve">Dettes de location acquisition </t>
  </si>
  <si>
    <t xml:space="preserve">DC </t>
  </si>
  <si>
    <t xml:space="preserve">Provisions pour risques et charges </t>
  </si>
  <si>
    <t xml:space="preserve">DD </t>
  </si>
  <si>
    <t xml:space="preserve">TOTAL DETTES FINANCIERES ET RESSOURCES ASSIMILEES </t>
  </si>
  <si>
    <t xml:space="preserve">DF </t>
  </si>
  <si>
    <t xml:space="preserve">TOTAL RESSOURCES STABLES </t>
  </si>
  <si>
    <t xml:space="preserve">DH </t>
  </si>
  <si>
    <t xml:space="preserve">Dettes circulantes HAO </t>
  </si>
  <si>
    <t xml:space="preserve">DI </t>
  </si>
  <si>
    <t xml:space="preserve">Clients, avances reçues </t>
  </si>
  <si>
    <t xml:space="preserve">DJ </t>
  </si>
  <si>
    <t xml:space="preserve">Fournisseurs d'exploitation </t>
  </si>
  <si>
    <t xml:space="preserve">DK </t>
  </si>
  <si>
    <t xml:space="preserve">Dettes fiscales et sociales </t>
  </si>
  <si>
    <t xml:space="preserve">DM </t>
  </si>
  <si>
    <t xml:space="preserve">Autres dettes </t>
  </si>
  <si>
    <t xml:space="preserve">DN </t>
  </si>
  <si>
    <t xml:space="preserve">Provisions pour risques à court terme </t>
  </si>
  <si>
    <t xml:space="preserve">DP </t>
  </si>
  <si>
    <t xml:space="preserve">TOTAL PASSIF CIRCULANT </t>
  </si>
  <si>
    <t xml:space="preserve">DQ </t>
  </si>
  <si>
    <t xml:space="preserve">Banques, crédits d'escompte  </t>
  </si>
  <si>
    <t xml:space="preserve">DR </t>
  </si>
  <si>
    <t xml:space="preserve">Banques, établissements financiers et crédits de trésorerie </t>
  </si>
  <si>
    <t xml:space="preserve">DT </t>
  </si>
  <si>
    <t xml:space="preserve">TOTAL TRESORERIE-PASSIF  </t>
  </si>
  <si>
    <t xml:space="preserve">DV </t>
  </si>
  <si>
    <t xml:space="preserve">DZ </t>
  </si>
  <si>
    <r>
      <t>Ecart de conversion</t>
    </r>
    <r>
      <rPr>
        <sz val="10"/>
        <color rgb="FF0D0D0D"/>
        <rFont val="Arial"/>
        <family val="2"/>
      </rPr>
      <t>-Passif</t>
    </r>
    <r>
      <rPr>
        <sz val="10"/>
        <color rgb="FF000000"/>
        <rFont val="Arial"/>
        <family val="2"/>
      </rPr>
      <t xml:space="preserve"> </t>
    </r>
  </si>
  <si>
    <t>NOTE</t>
  </si>
  <si>
    <t>TA</t>
  </si>
  <si>
    <t xml:space="preserve">+ </t>
  </si>
  <si>
    <t>RA</t>
  </si>
  <si>
    <t>-</t>
  </si>
  <si>
    <t>RB</t>
  </si>
  <si>
    <t xml:space="preserve">Variation de stocks de marchandises                                                    </t>
  </si>
  <si>
    <t xml:space="preserve">-/+  </t>
  </si>
  <si>
    <t>XA</t>
  </si>
  <si>
    <t xml:space="preserve">MARGE  COMMERCIALE  (Somme TA à RB) </t>
  </si>
  <si>
    <t>TB</t>
  </si>
  <si>
    <t>TC</t>
  </si>
  <si>
    <t>TD</t>
  </si>
  <si>
    <t>XB</t>
  </si>
  <si>
    <t>TE</t>
  </si>
  <si>
    <t>TF</t>
  </si>
  <si>
    <t>TG</t>
  </si>
  <si>
    <t>TH</t>
  </si>
  <si>
    <t>TI</t>
  </si>
  <si>
    <t xml:space="preserve">Transferts de charges d'exploitation     </t>
  </si>
  <si>
    <t>RC</t>
  </si>
  <si>
    <t xml:space="preserve"> - </t>
  </si>
  <si>
    <t>RD</t>
  </si>
  <si>
    <t>RE</t>
  </si>
  <si>
    <t>RF</t>
  </si>
  <si>
    <t xml:space="preserve"> -/+  </t>
  </si>
  <si>
    <t>RG</t>
  </si>
  <si>
    <t>RH</t>
  </si>
  <si>
    <t>RI</t>
  </si>
  <si>
    <t>RJ</t>
  </si>
  <si>
    <t>XC</t>
  </si>
  <si>
    <t xml:space="preserve">             VALEUR AJOUTEE    (XB +RA+RB) + (somme TE à RJ)  </t>
  </si>
  <si>
    <t>RK</t>
  </si>
  <si>
    <t>XD</t>
  </si>
  <si>
    <t>TJ</t>
  </si>
  <si>
    <t xml:space="preserve">Reprises d’amortissements, provisions et dépréciations  </t>
  </si>
  <si>
    <t>RL</t>
  </si>
  <si>
    <t xml:space="preserve">Dotations aux amortissements, aux provisions et dépréciations </t>
  </si>
  <si>
    <t>3C&amp;28</t>
  </si>
  <si>
    <t>XE</t>
  </si>
  <si>
    <t xml:space="preserve">   RESULTAT D'EXPLOITATION (XD+TJ+ RL)    </t>
  </si>
  <si>
    <t>TK</t>
  </si>
  <si>
    <t>TL</t>
  </si>
  <si>
    <t xml:space="preserve">Reprises de provisions  et dépréciations financières </t>
  </si>
  <si>
    <t xml:space="preserve"> + </t>
  </si>
  <si>
    <t>TM</t>
  </si>
  <si>
    <t>RM</t>
  </si>
  <si>
    <t>RN</t>
  </si>
  <si>
    <t xml:space="preserve">Dotations aux provisions et aux dépréciations financières </t>
  </si>
  <si>
    <t xml:space="preserve">3C&amp;28 </t>
  </si>
  <si>
    <t>XF</t>
  </si>
  <si>
    <t xml:space="preserve">RESULTAT  FINANCIER  (somme TK à RN)    </t>
  </si>
  <si>
    <t>XG</t>
  </si>
  <si>
    <t xml:space="preserve">RESULTAT  DES ACTIVITES ORDINAIRES (XE+XF)   </t>
  </si>
  <si>
    <t>TN</t>
  </si>
  <si>
    <t xml:space="preserve">3D </t>
  </si>
  <si>
    <t>TO</t>
  </si>
  <si>
    <t xml:space="preserve">Autres Produits HAO   </t>
  </si>
  <si>
    <t>RO</t>
  </si>
  <si>
    <t>RP</t>
  </si>
  <si>
    <t xml:space="preserve">Autres Charges HAO   </t>
  </si>
  <si>
    <t>XH</t>
  </si>
  <si>
    <t>RQ</t>
  </si>
  <si>
    <t>RS</t>
  </si>
  <si>
    <t>XI</t>
  </si>
  <si>
    <r>
      <t xml:space="preserve">LIBELLES  </t>
    </r>
    <r>
      <rPr>
        <sz val="8"/>
        <color rgb="FFFFFFFF"/>
        <rFont val="Arial"/>
        <family val="2"/>
      </rPr>
      <t xml:space="preserve">  </t>
    </r>
  </si>
  <si>
    <t>RESULTAT HORS ACTIVITES ORDINAIRES (somme TN à RP)</t>
  </si>
  <si>
    <t xml:space="preserve">             </t>
  </si>
  <si>
    <r>
      <t xml:space="preserve">Achats de marchandises  </t>
    </r>
    <r>
      <rPr>
        <sz val="9"/>
        <color rgb="FF000000"/>
        <rFont val="Arial"/>
        <family val="2"/>
      </rPr>
      <t xml:space="preserve">  </t>
    </r>
  </si>
  <si>
    <r>
      <t xml:space="preserve">Production immobilisée  </t>
    </r>
    <r>
      <rPr>
        <sz val="9"/>
        <color rgb="FF000000"/>
        <rFont val="Arial"/>
        <family val="2"/>
      </rPr>
      <t xml:space="preserve"> </t>
    </r>
  </si>
  <si>
    <r>
      <t xml:space="preserve">Subventions d’exploitation  </t>
    </r>
    <r>
      <rPr>
        <sz val="9"/>
        <color rgb="FF000000"/>
        <rFont val="Arial"/>
        <family val="2"/>
      </rPr>
      <t xml:space="preserve"> </t>
    </r>
  </si>
  <si>
    <r>
      <t xml:space="preserve">Autres produits  </t>
    </r>
    <r>
      <rPr>
        <sz val="9"/>
        <color rgb="FF000000"/>
        <rFont val="Arial"/>
        <family val="2"/>
      </rPr>
      <t xml:space="preserve">  </t>
    </r>
  </si>
  <si>
    <r>
      <t xml:space="preserve"> Achats de matières premières et fournitures liées  </t>
    </r>
    <r>
      <rPr>
        <sz val="9"/>
        <color rgb="FF000000"/>
        <rFont val="Arial"/>
        <family val="2"/>
      </rPr>
      <t xml:space="preserve">  </t>
    </r>
  </si>
  <si>
    <r>
      <t xml:space="preserve">Variation de stocks de matières premières et fournitures liées  </t>
    </r>
    <r>
      <rPr>
        <sz val="9"/>
        <color rgb="FF000000"/>
        <rFont val="Arial"/>
        <family val="2"/>
      </rPr>
      <t xml:space="preserve">  </t>
    </r>
  </si>
  <si>
    <r>
      <t xml:space="preserve">Autres achats  </t>
    </r>
    <r>
      <rPr>
        <sz val="9"/>
        <color rgb="FF000000"/>
        <rFont val="Arial"/>
        <family val="2"/>
      </rPr>
      <t xml:space="preserve">  </t>
    </r>
  </si>
  <si>
    <r>
      <t xml:space="preserve">Variation de stocks d’autres approvisionnements                      </t>
    </r>
    <r>
      <rPr>
        <sz val="9"/>
        <color rgb="FF000000"/>
        <rFont val="Arial"/>
        <family val="2"/>
      </rPr>
      <t xml:space="preserve">  </t>
    </r>
  </si>
  <si>
    <r>
      <t xml:space="preserve">Transports  </t>
    </r>
    <r>
      <rPr>
        <sz val="9"/>
        <color rgb="FF000000"/>
        <rFont val="Arial"/>
        <family val="2"/>
      </rPr>
      <t xml:space="preserve">  </t>
    </r>
  </si>
  <si>
    <r>
      <t xml:space="preserve">Services extérieurs  </t>
    </r>
    <r>
      <rPr>
        <sz val="9"/>
        <color rgb="FF000000"/>
        <rFont val="Arial"/>
        <family val="2"/>
      </rPr>
      <t xml:space="preserve">  </t>
    </r>
  </si>
  <si>
    <r>
      <t xml:space="preserve"> Impôts et taxes  </t>
    </r>
    <r>
      <rPr>
        <sz val="9"/>
        <color rgb="FF000000"/>
        <rFont val="Arial"/>
        <family val="2"/>
      </rPr>
      <t xml:space="preserve">  </t>
    </r>
  </si>
  <si>
    <r>
      <t xml:space="preserve">Autres charges  </t>
    </r>
    <r>
      <rPr>
        <sz val="9"/>
        <color rgb="FF000000"/>
        <rFont val="Arial"/>
        <family val="2"/>
      </rPr>
      <t xml:space="preserve">  </t>
    </r>
  </si>
  <si>
    <r>
      <t xml:space="preserve">Charges de personnel  </t>
    </r>
    <r>
      <rPr>
        <sz val="9"/>
        <color rgb="FF000000"/>
        <rFont val="Arial"/>
        <family val="2"/>
      </rPr>
      <t xml:space="preserve">  </t>
    </r>
  </si>
  <si>
    <r>
      <t xml:space="preserve">Revenus financiers et assimilés  </t>
    </r>
    <r>
      <rPr>
        <sz val="9"/>
        <color rgb="FF000000"/>
        <rFont val="Arial"/>
        <family val="2"/>
      </rPr>
      <t xml:space="preserve">  </t>
    </r>
  </si>
  <si>
    <r>
      <t xml:space="preserve">Transferts de charges financières  </t>
    </r>
    <r>
      <rPr>
        <sz val="9"/>
        <color rgb="FF000000"/>
        <rFont val="Arial"/>
        <family val="2"/>
      </rPr>
      <t xml:space="preserve">  </t>
    </r>
  </si>
  <si>
    <r>
      <t xml:space="preserve">Frais financiers et charges assimilées  </t>
    </r>
    <r>
      <rPr>
        <sz val="9"/>
        <color rgb="FF000000"/>
        <rFont val="Arial"/>
        <family val="2"/>
      </rPr>
      <t xml:space="preserve">  </t>
    </r>
  </si>
  <si>
    <r>
      <t xml:space="preserve">Produits des cessions d'immobilisations  </t>
    </r>
    <r>
      <rPr>
        <sz val="9"/>
        <color rgb="FF000000"/>
        <rFont val="Arial"/>
        <family val="2"/>
      </rPr>
      <t xml:space="preserve">  </t>
    </r>
  </si>
  <si>
    <r>
      <t xml:space="preserve">Valeurs comptables des cessions d'immobilisations  </t>
    </r>
    <r>
      <rPr>
        <sz val="9"/>
        <color rgb="FF000000"/>
        <rFont val="Arial"/>
        <family val="2"/>
      </rPr>
      <t xml:space="preserve">  </t>
    </r>
  </si>
  <si>
    <r>
      <t xml:space="preserve">Participation des travailleurs  </t>
    </r>
    <r>
      <rPr>
        <sz val="9"/>
        <color rgb="FF000000"/>
        <rFont val="Arial"/>
        <family val="2"/>
      </rPr>
      <t xml:space="preserve">  </t>
    </r>
  </si>
  <si>
    <r>
      <t xml:space="preserve"> Impôts sur le résultat  </t>
    </r>
    <r>
      <rPr>
        <sz val="9"/>
        <color rgb="FF000000"/>
        <rFont val="Arial"/>
        <family val="2"/>
      </rPr>
      <t xml:space="preserve">  </t>
    </r>
  </si>
  <si>
    <t xml:space="preserve"> EXCEDENT BRUT D'EXPLOITATION (XC+RK)    </t>
  </si>
  <si>
    <t xml:space="preserve">RESULTAT NET (XG+XH+RQ+RS)   </t>
  </si>
  <si>
    <t xml:space="preserve">        CHIFFRE D'AFFAIRES (A + B + C + D)   </t>
  </si>
  <si>
    <t xml:space="preserve">LIBELLES </t>
  </si>
  <si>
    <t xml:space="preserve">Note </t>
  </si>
  <si>
    <t>ZA</t>
  </si>
  <si>
    <t>A</t>
  </si>
  <si>
    <t xml:space="preserve">Flux de trésorerie provenant des activités opérationnelles </t>
  </si>
  <si>
    <t>FA</t>
  </si>
  <si>
    <t xml:space="preserve">  Capacité d'Autofinancement Globale (CAFG) </t>
  </si>
  <si>
    <t>FB</t>
  </si>
  <si>
    <t>FC</t>
  </si>
  <si>
    <t>FD</t>
  </si>
  <si>
    <t>FE</t>
  </si>
  <si>
    <t>ZB</t>
  </si>
  <si>
    <t xml:space="preserve">Flux de trésorerie provenant des activités opérationnelles (somme FA à FE) </t>
  </si>
  <si>
    <t>B</t>
  </si>
  <si>
    <t xml:space="preserve">Flux de trésorerie provenant des activités d’investissements </t>
  </si>
  <si>
    <t>FF</t>
  </si>
  <si>
    <t>FG</t>
  </si>
  <si>
    <t>FH</t>
  </si>
  <si>
    <t>FI</t>
  </si>
  <si>
    <t>FJ</t>
  </si>
  <si>
    <t>ZC</t>
  </si>
  <si>
    <t xml:space="preserve">Flux de trésorerie provenant des activités d’investissement (somme FF à FJ) </t>
  </si>
  <si>
    <t>C</t>
  </si>
  <si>
    <t xml:space="preserve">Flux de trésorerie provenant du financement par les capitaux propres </t>
  </si>
  <si>
    <t>FK</t>
  </si>
  <si>
    <t xml:space="preserve">+ Augmentations de capital par apports nouveaux </t>
  </si>
  <si>
    <t>FL</t>
  </si>
  <si>
    <t>FM</t>
  </si>
  <si>
    <t>FN</t>
  </si>
  <si>
    <t>ZD</t>
  </si>
  <si>
    <t>D</t>
  </si>
  <si>
    <t xml:space="preserve">Trésorerie provenant du financement par les capitaux étrangers </t>
  </si>
  <si>
    <t>FO</t>
  </si>
  <si>
    <t xml:space="preserve">+ Emprunts </t>
  </si>
  <si>
    <t>FP</t>
  </si>
  <si>
    <t>FQ</t>
  </si>
  <si>
    <t>ZE</t>
  </si>
  <si>
    <t>E</t>
  </si>
  <si>
    <t>ZF</t>
  </si>
  <si>
    <t xml:space="preserve">Flux de trésorerie provenant des activités de financement (D+E) </t>
  </si>
  <si>
    <t>F</t>
  </si>
  <si>
    <t>ZG</t>
  </si>
  <si>
    <t xml:space="preserve">VARIATION DE LA TRÉSORERIE NETTE DE LA PÉRIODE (B+C+F) </t>
  </si>
  <si>
    <t>G</t>
  </si>
  <si>
    <t>ZH</t>
  </si>
  <si>
    <t xml:space="preserve">Trésorerie nette au 31 Décembre (G+A) </t>
  </si>
  <si>
    <t>H</t>
  </si>
  <si>
    <r>
      <t>[</t>
    </r>
    <r>
      <rPr>
        <b/>
        <vertAlign val="superscript"/>
        <sz val="8"/>
        <color rgb="FF000000"/>
        <rFont val="Arial"/>
        <family val="2"/>
      </rPr>
      <t>1</t>
    </r>
    <r>
      <rPr>
        <b/>
        <sz val="8"/>
        <color rgb="FF000000"/>
        <rFont val="Arial"/>
        <family val="2"/>
      </rPr>
      <t xml:space="preserve">]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r>
  </si>
  <si>
    <r>
      <t xml:space="preserve"> </t>
    </r>
    <r>
      <rPr>
        <b/>
        <sz val="9"/>
        <color rgb="FFFFFFFF"/>
        <rFont val="Arial"/>
        <family val="2"/>
      </rPr>
      <t xml:space="preserve">REF </t>
    </r>
  </si>
  <si>
    <r>
      <t>Trésorerie nette au 1</t>
    </r>
    <r>
      <rPr>
        <b/>
        <vertAlign val="superscript"/>
        <sz val="9"/>
        <color rgb="FFFFFFFF"/>
        <rFont val="Arial"/>
        <family val="2"/>
      </rPr>
      <t>er</t>
    </r>
    <r>
      <rPr>
        <b/>
        <sz val="9"/>
        <color rgb="FFFFFFFF"/>
        <rFont val="Arial"/>
        <family val="2"/>
      </rPr>
      <t xml:space="preserve"> janvier </t>
    </r>
  </si>
  <si>
    <r>
      <t xml:space="preserve"> </t>
    </r>
    <r>
      <rPr>
        <sz val="9"/>
        <color rgb="FFFFFFFF"/>
        <rFont val="Arial"/>
        <family val="2"/>
      </rPr>
      <t>(Trésorerie actif N-1 - Trésorerie passif N-1)</t>
    </r>
    <r>
      <rPr>
        <b/>
        <sz val="9"/>
        <color rgb="FFFFFFFF"/>
        <rFont val="Arial"/>
        <family val="2"/>
      </rPr>
      <t xml:space="preserve"> </t>
    </r>
  </si>
  <si>
    <r>
      <t xml:space="preserve">- Variation Actif circulant HAO </t>
    </r>
    <r>
      <rPr>
        <vertAlign val="superscript"/>
        <sz val="9"/>
        <color rgb="FF000000"/>
        <rFont val="Arial"/>
        <family val="2"/>
      </rPr>
      <t>(1)</t>
    </r>
    <r>
      <rPr>
        <b/>
        <sz val="9"/>
        <color rgb="FF000000"/>
        <rFont val="Arial"/>
        <family val="2"/>
      </rPr>
      <t xml:space="preserve"> </t>
    </r>
  </si>
  <si>
    <r>
      <t>-</t>
    </r>
    <r>
      <rPr>
        <sz val="9"/>
        <color rgb="FF000000"/>
        <rFont val="Arial"/>
        <family val="2"/>
      </rPr>
      <t xml:space="preserve"> Variation des stocks</t>
    </r>
    <r>
      <rPr>
        <b/>
        <sz val="9"/>
        <color rgb="FF000000"/>
        <rFont val="Arial"/>
        <family val="2"/>
      </rPr>
      <t xml:space="preserve"> </t>
    </r>
  </si>
  <si>
    <r>
      <t xml:space="preserve">-  </t>
    </r>
    <r>
      <rPr>
        <sz val="9"/>
        <color rgb="FF000000"/>
        <rFont val="Arial"/>
        <family val="2"/>
      </rPr>
      <t xml:space="preserve">Variation des créances  </t>
    </r>
    <r>
      <rPr>
        <b/>
        <sz val="9"/>
        <color rgb="FF000000"/>
        <rFont val="Arial"/>
        <family val="2"/>
      </rPr>
      <t xml:space="preserve"> </t>
    </r>
  </si>
  <si>
    <r>
      <t xml:space="preserve">+ </t>
    </r>
    <r>
      <rPr>
        <sz val="9"/>
        <color rgb="FF000000"/>
        <rFont val="Arial"/>
        <family val="2"/>
      </rPr>
      <t xml:space="preserve">Variation du passif circulant </t>
    </r>
    <r>
      <rPr>
        <b/>
        <vertAlign val="superscript"/>
        <sz val="9"/>
        <color rgb="FF000000"/>
        <rFont val="Arial"/>
        <family val="2"/>
      </rPr>
      <t>(1)</t>
    </r>
    <r>
      <rPr>
        <b/>
        <sz val="9"/>
        <color rgb="FF000000"/>
        <rFont val="Arial"/>
        <family val="2"/>
      </rPr>
      <t xml:space="preserve"> </t>
    </r>
  </si>
  <si>
    <r>
      <t xml:space="preserve">- </t>
    </r>
    <r>
      <rPr>
        <sz val="9"/>
        <color rgb="FF000000"/>
        <rFont val="Arial"/>
        <family val="2"/>
      </rPr>
      <t>Décaissements liés aux acquisitions d'immobilisations incorporelles</t>
    </r>
    <r>
      <rPr>
        <b/>
        <sz val="9"/>
        <color rgb="FF000000"/>
        <rFont val="Arial"/>
        <family val="2"/>
      </rPr>
      <t xml:space="preserve"> </t>
    </r>
  </si>
  <si>
    <r>
      <t xml:space="preserve">- </t>
    </r>
    <r>
      <rPr>
        <sz val="9"/>
        <color rgb="FF000000"/>
        <rFont val="Arial"/>
        <family val="2"/>
      </rPr>
      <t>Décaissements liés aux acquisitions d'immobilisations corporelles</t>
    </r>
    <r>
      <rPr>
        <b/>
        <sz val="9"/>
        <color rgb="FF000000"/>
        <rFont val="Arial"/>
        <family val="2"/>
      </rPr>
      <t xml:space="preserve"> </t>
    </r>
  </si>
  <si>
    <r>
      <t xml:space="preserve">- </t>
    </r>
    <r>
      <rPr>
        <sz val="9"/>
        <color rgb="FF000000"/>
        <rFont val="Arial"/>
        <family val="2"/>
      </rPr>
      <t>Décaissements liés aux acquisitions d'immobilisations financières</t>
    </r>
    <r>
      <rPr>
        <b/>
        <sz val="9"/>
        <color rgb="FF000000"/>
        <rFont val="Arial"/>
        <family val="2"/>
      </rPr>
      <t xml:space="preserve"> </t>
    </r>
  </si>
  <si>
    <r>
      <t xml:space="preserve">+ Encaissements liés aux cessions d’immobilisations incorporelles et corporelles </t>
    </r>
    <r>
      <rPr>
        <b/>
        <sz val="9"/>
        <color rgb="FF000000"/>
        <rFont val="Arial"/>
        <family val="2"/>
      </rPr>
      <t xml:space="preserve"> </t>
    </r>
  </si>
  <si>
    <r>
      <t>+</t>
    </r>
    <r>
      <rPr>
        <sz val="9"/>
        <color rgb="FF000000"/>
        <rFont val="Arial"/>
        <family val="2"/>
      </rPr>
      <t xml:space="preserve"> Encaissements liés aux cessions d’immobilisations financières</t>
    </r>
    <r>
      <rPr>
        <b/>
        <sz val="9"/>
        <color rgb="FF000000"/>
        <rFont val="Arial"/>
        <family val="2"/>
      </rPr>
      <t xml:space="preserve"> </t>
    </r>
  </si>
  <si>
    <r>
      <t xml:space="preserve">+ </t>
    </r>
    <r>
      <rPr>
        <sz val="9"/>
        <color rgb="FF000000"/>
        <rFont val="Arial"/>
        <family val="2"/>
      </rPr>
      <t>Subventions d'investissement reçues</t>
    </r>
    <r>
      <rPr>
        <b/>
        <sz val="9"/>
        <color rgb="FF000000"/>
        <rFont val="Arial"/>
        <family val="2"/>
      </rPr>
      <t xml:space="preserve"> </t>
    </r>
  </si>
  <si>
    <r>
      <t xml:space="preserve">- </t>
    </r>
    <r>
      <rPr>
        <sz val="9"/>
        <color rgb="FF000000"/>
        <rFont val="Arial"/>
        <family val="2"/>
      </rPr>
      <t xml:space="preserve">Prélèvements sur le capital </t>
    </r>
    <r>
      <rPr>
        <b/>
        <sz val="9"/>
        <color rgb="FF000000"/>
        <rFont val="Arial"/>
        <family val="2"/>
      </rPr>
      <t xml:space="preserve"> </t>
    </r>
  </si>
  <si>
    <r>
      <t xml:space="preserve">- </t>
    </r>
    <r>
      <rPr>
        <sz val="9"/>
        <color rgb="FF000000"/>
        <rFont val="Arial"/>
        <family val="2"/>
      </rPr>
      <t>Dividendes versés</t>
    </r>
    <r>
      <rPr>
        <b/>
        <sz val="9"/>
        <color rgb="FF000000"/>
        <rFont val="Arial"/>
        <family val="2"/>
      </rPr>
      <t xml:space="preserve"> </t>
    </r>
  </si>
  <si>
    <r>
      <t xml:space="preserve">Flux de trésorerie provenant des capitaux propres (somme FK à FN)                                        </t>
    </r>
    <r>
      <rPr>
        <b/>
        <sz val="9"/>
        <color rgb="FFFFFFFF"/>
        <rFont val="Arial"/>
        <family val="2"/>
      </rPr>
      <t xml:space="preserve"> </t>
    </r>
  </si>
  <si>
    <r>
      <t xml:space="preserve">+ </t>
    </r>
    <r>
      <rPr>
        <sz val="9"/>
        <color rgb="FF000000"/>
        <rFont val="Arial"/>
        <family val="2"/>
      </rPr>
      <t>Autres dettes financières</t>
    </r>
    <r>
      <rPr>
        <b/>
        <sz val="9"/>
        <color rgb="FF000000"/>
        <rFont val="Arial"/>
        <family val="2"/>
      </rPr>
      <t xml:space="preserve"> </t>
    </r>
  </si>
  <si>
    <r>
      <t xml:space="preserve">- </t>
    </r>
    <r>
      <rPr>
        <sz val="9"/>
        <color rgb="FF000000"/>
        <rFont val="Arial"/>
        <family val="2"/>
      </rPr>
      <t>Remboursements des emprunts et autres dettes financières</t>
    </r>
    <r>
      <rPr>
        <b/>
        <sz val="9"/>
        <color rgb="FF000000"/>
        <rFont val="Arial"/>
        <family val="2"/>
      </rPr>
      <t xml:space="preserve"> </t>
    </r>
  </si>
  <si>
    <r>
      <t>Flux de trésorerie provenant des capitaux étrangers (somme FO à FQ)</t>
    </r>
    <r>
      <rPr>
        <b/>
        <sz val="9"/>
        <color rgb="FFFFFFFF"/>
        <rFont val="Arial"/>
        <family val="2"/>
      </rPr>
      <t xml:space="preserve"> </t>
    </r>
  </si>
  <si>
    <t xml:space="preserve">DETTES GARANTIES PAR DES SURETES REELLES  </t>
  </si>
  <si>
    <t xml:space="preserve">Montant brut </t>
  </si>
  <si>
    <t xml:space="preserve">SURETES REELLES </t>
  </si>
  <si>
    <t xml:space="preserve">Hypothèques </t>
  </si>
  <si>
    <t xml:space="preserve">Nantissements </t>
  </si>
  <si>
    <t xml:space="preserve">Gages/ </t>
  </si>
  <si>
    <t xml:space="preserve">autres </t>
  </si>
  <si>
    <t xml:space="preserve">Emprunts obligataires convertibles  </t>
  </si>
  <si>
    <t xml:space="preserve">Autres emprunts obligataires </t>
  </si>
  <si>
    <t xml:space="preserve">Emprunts et dettes des établissements de crédit  </t>
  </si>
  <si>
    <t xml:space="preserve">Autres dettes financières </t>
  </si>
  <si>
    <t xml:space="preserve">SOUS TOTAL (1) </t>
  </si>
  <si>
    <t xml:space="preserve">Dettes de location-acquisition : </t>
  </si>
  <si>
    <t xml:space="preserve">Dettes de crédit-bail immobilier </t>
  </si>
  <si>
    <t xml:space="preserve">Dettes de crédit-bail mobilier </t>
  </si>
  <si>
    <t xml:space="preserve">Dettes sur contrats de location-vente </t>
  </si>
  <si>
    <t xml:space="preserve">Dettes sur contrats de location-acquisition </t>
  </si>
  <si>
    <t xml:space="preserve">SOUS TOTAL (2) </t>
  </si>
  <si>
    <t xml:space="preserve">Dettes du passif circulant : </t>
  </si>
  <si>
    <t xml:space="preserve">Fournisseurs et comptes rattachés </t>
  </si>
  <si>
    <t xml:space="preserve">Personnel </t>
  </si>
  <si>
    <t xml:space="preserve">Sécurité sociale et organismes sociaux </t>
  </si>
  <si>
    <t xml:space="preserve">Etat </t>
  </si>
  <si>
    <t xml:space="preserve">Organismes internationaux </t>
  </si>
  <si>
    <t xml:space="preserve">Associés et groupe </t>
  </si>
  <si>
    <t xml:space="preserve">Créditeurs divers </t>
  </si>
  <si>
    <t xml:space="preserve">SOUS TOTAL (3) </t>
  </si>
  <si>
    <t xml:space="preserve">TOTAL (1) + (2) + (3) </t>
  </si>
  <si>
    <t xml:space="preserve"> ENGAGEMENTS FINANCIERS </t>
  </si>
  <si>
    <t xml:space="preserve">Engagements donnés </t>
  </si>
  <si>
    <t xml:space="preserve">Engagements reçus </t>
  </si>
  <si>
    <t xml:space="preserve">Engagements consentis à des entités liées </t>
  </si>
  <si>
    <t xml:space="preserve">Primes de remboursement non échues </t>
  </si>
  <si>
    <t xml:space="preserve">Avals, cautions, garanties       </t>
  </si>
  <si>
    <t xml:space="preserve">hypothèques, nantissements, gages, autres       </t>
  </si>
  <si>
    <t xml:space="preserve">Effets escomptés non échus       </t>
  </si>
  <si>
    <t xml:space="preserve">Créances commerciales et professionnelles cédées    </t>
  </si>
  <si>
    <t xml:space="preserve">Abandons de créances conditionnels       </t>
  </si>
  <si>
    <t>MONTANT</t>
  </si>
  <si>
    <t>Acquisitions</t>
  </si>
  <si>
    <t>Virements</t>
  </si>
  <si>
    <t>Suite à une</t>
  </si>
  <si>
    <t>Cessions</t>
  </si>
  <si>
    <t>BRUT  A</t>
  </si>
  <si>
    <t>Apports</t>
  </si>
  <si>
    <t>de</t>
  </si>
  <si>
    <t>réévaluation</t>
  </si>
  <si>
    <t>Scissions</t>
  </si>
  <si>
    <t>BRUT A LA</t>
  </si>
  <si>
    <t>RUBRIQUES</t>
  </si>
  <si>
    <t xml:space="preserve">L'OUVERTURE DE </t>
  </si>
  <si>
    <t>L’EXERCICE</t>
  </si>
  <si>
    <t>Créations</t>
  </si>
  <si>
    <t>poste à poste</t>
  </si>
  <si>
    <t>Pratiquée au cours</t>
  </si>
  <si>
    <t>de l’exercice</t>
  </si>
  <si>
    <t>Hors service</t>
  </si>
  <si>
    <t>poste à</t>
  </si>
  <si>
    <t>poste</t>
  </si>
  <si>
    <t xml:space="preserve">CLOTURE DE </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</si>
  <si>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</si>
  <si>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</si>
  <si>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</si>
  <si>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</si>
  <si>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</si>
  <si>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Matériel,  mobilier et actifs biologiques </t>
  </si>
  <si>
    <t xml:space="preserve">AVANCES ET ACOMPTES VERSES SUR IMMOBILISATIONS </t>
  </si>
  <si>
    <t xml:space="preserve">Immobilisations incorporelles </t>
  </si>
  <si>
    <t xml:space="preserve">Immobilisations corporelles </t>
  </si>
  <si>
    <t xml:space="preserve"> IMMOBILISATION BRUTE</t>
  </si>
  <si>
    <t xml:space="preserve">Commentaire :   </t>
  </si>
  <si>
    <t>SITUATIONS ET MOUVEMENTS</t>
  </si>
  <si>
    <t>NATURE</t>
  </si>
  <si>
    <t>DU CONTRAT</t>
  </si>
  <si>
    <t xml:space="preserve">(I ; M ; A)  </t>
  </si>
  <si>
    <t>[1]</t>
  </si>
  <si>
    <t xml:space="preserve">A </t>
  </si>
  <si>
    <t xml:space="preserve">AUGMENTATIONS  B </t>
  </si>
  <si>
    <t xml:space="preserve">DIMINUTIONS  C </t>
  </si>
  <si>
    <t xml:space="preserve">D = A + B - C </t>
  </si>
  <si>
    <t xml:space="preserve">MONTANT </t>
  </si>
  <si>
    <t>BRUT A</t>
  </si>
  <si>
    <t xml:space="preserve">L'OUVERTURE  </t>
  </si>
  <si>
    <t>DE  L'EXERCICE</t>
  </si>
  <si>
    <t>Virements de</t>
  </si>
  <si>
    <t xml:space="preserve">poste à poste </t>
  </si>
  <si>
    <t xml:space="preserve">Suite à une </t>
  </si>
  <si>
    <t>Réévaluation</t>
  </si>
  <si>
    <t>Pratiquée</t>
  </si>
  <si>
    <t>au cours</t>
  </si>
  <si>
    <t>de l'exercice</t>
  </si>
  <si>
    <t xml:space="preserve">Cessions </t>
  </si>
  <si>
    <t xml:space="preserve">poste à </t>
  </si>
  <si>
    <t>CLOTURE  DE</t>
  </si>
  <si>
    <t>L'EXERCICE</t>
  </si>
  <si>
    <t xml:space="preserve">Brevets, licences, logiciels et droits similaires </t>
  </si>
  <si>
    <t xml:space="preserve"> SOUS TOTAL : IMMOBILISATIONS INCORPORELLES </t>
  </si>
  <si>
    <t xml:space="preserve">Terrains </t>
  </si>
  <si>
    <t xml:space="preserve">Bâtiments </t>
  </si>
  <si>
    <t xml:space="preserve">SOUS TOTAL : IMMOBILISATIONS CORPORELLES </t>
  </si>
  <si>
    <t xml:space="preserve">BIENS PRIS EN LOCATION ACQUISITION </t>
  </si>
  <si>
    <t xml:space="preserve">Commentaire : </t>
  </si>
  <si>
    <t xml:space="preserve">Indiquer la nature du bien, le nom du bailleur et la durée du bail. </t>
  </si>
  <si>
    <t xml:space="preserve">   </t>
  </si>
  <si>
    <t xml:space="preserve">     </t>
  </si>
  <si>
    <r>
      <t xml:space="preserve">                                                                           </t>
    </r>
    <r>
      <rPr>
        <b/>
        <u/>
        <sz val="11"/>
        <color rgb="FF002060"/>
        <rFont val="Times New Roman"/>
        <family val="1"/>
      </rPr>
      <t>NOTE</t>
    </r>
    <r>
      <rPr>
        <b/>
        <sz val="11"/>
        <color rgb="FF002060"/>
        <rFont val="Times New Roman"/>
        <family val="1"/>
      </rPr>
      <t xml:space="preserve"> 3D</t>
    </r>
  </si>
  <si>
    <t>IMMOBILISATIONS : PLUS-VALUES ET MOINS VALUE DE CESSION</t>
  </si>
  <si>
    <t xml:space="preserve">AMORTISSEMENTS </t>
  </si>
  <si>
    <t xml:space="preserve">VALEUR </t>
  </si>
  <si>
    <t xml:space="preserve">PRIX  </t>
  </si>
  <si>
    <t xml:space="preserve">PLUS-VALUE </t>
  </si>
  <si>
    <t xml:space="preserve">PRATIQUES </t>
  </si>
  <si>
    <t xml:space="preserve">COMPTABLE </t>
  </si>
  <si>
    <t xml:space="preserve">DE </t>
  </si>
  <si>
    <t xml:space="preserve">OU MOINS-VALUE </t>
  </si>
  <si>
    <t xml:space="preserve">NETTE </t>
  </si>
  <si>
    <t xml:space="preserve">CESSION </t>
  </si>
  <si>
    <t xml:space="preserve">B </t>
  </si>
  <si>
    <t xml:space="preserve">C = A - B </t>
  </si>
  <si>
    <t xml:space="preserve">D </t>
  </si>
  <si>
    <t xml:space="preserve">E = D - C </t>
  </si>
  <si>
    <t xml:space="preserve">Aménagements, agencements  et installations </t>
  </si>
  <si>
    <t xml:space="preserve"> SOUS TOTAL : IMMOBILISATIONS CORPORELLES </t>
  </si>
  <si>
    <t xml:space="preserve">Titres de participations </t>
  </si>
  <si>
    <t xml:space="preserve">SOUS TOTAL : IMMOBILISATIONS FINANCIERES </t>
  </si>
  <si>
    <r>
      <t>NOTE</t>
    </r>
    <r>
      <rPr>
        <b/>
        <sz val="11"/>
        <color rgb="FF002060"/>
        <rFont val="Times New Roman"/>
        <family val="1"/>
      </rPr>
      <t xml:space="preserve"> 3E </t>
    </r>
  </si>
  <si>
    <t xml:space="preserve">INFORMATIONS SUR LES REEVALUATIONS EFFECTUEES PAR L'ENTITE </t>
  </si>
  <si>
    <t>Eléments réévalués par postes du bilan</t>
  </si>
  <si>
    <t>Montants coûts historiques</t>
  </si>
  <si>
    <t>Amortissements supplémentaires</t>
  </si>
  <si>
    <t xml:space="preserve">Montant de l'écart incorporé au capital : </t>
  </si>
  <si>
    <t>IMMOBILISATIONS FINANCIERES</t>
  </si>
  <si>
    <t xml:space="preserve">Libellés </t>
  </si>
  <si>
    <t xml:space="preserve">Variation en % </t>
  </si>
  <si>
    <t xml:space="preserve">Créances à un an au plus </t>
  </si>
  <si>
    <t xml:space="preserve">Créances à plus d'un an et à </t>
  </si>
  <si>
    <t xml:space="preserve">deux ans au plus </t>
  </si>
  <si>
    <t xml:space="preserve">Créances à plus de deux ans </t>
  </si>
  <si>
    <t xml:space="preserve">Prêts et créances </t>
  </si>
  <si>
    <t xml:space="preserve">Prêt au personnel </t>
  </si>
  <si>
    <t xml:space="preserve">Créances sur  l'état </t>
  </si>
  <si>
    <t xml:space="preserve">Titres immobilisés </t>
  </si>
  <si>
    <t xml:space="preserve">Dépôts et cautionnements </t>
  </si>
  <si>
    <t xml:space="preserve">Intérêts courus </t>
  </si>
  <si>
    <r>
      <t>TOTAL BRUT</t>
    </r>
    <r>
      <rPr>
        <b/>
        <sz val="8"/>
        <color rgb="FFFF0000"/>
        <rFont val="Arial"/>
        <family val="2"/>
      </rPr>
      <t xml:space="preserve"> </t>
    </r>
  </si>
  <si>
    <t xml:space="preserve">Dépréciations  titres de participation </t>
  </si>
  <si>
    <t xml:space="preserve">Dépréciations autres immobilisations </t>
  </si>
  <si>
    <t xml:space="preserve">TOTAL NET DE DEPRECIATION </t>
  </si>
  <si>
    <t xml:space="preserve"> Liste des filiales et participations : </t>
  </si>
  <si>
    <t xml:space="preserve">Dénomination sociale </t>
  </si>
  <si>
    <t xml:space="preserve">Localisation (ville / pays) </t>
  </si>
  <si>
    <t>Valeur d'acquisition</t>
  </si>
  <si>
    <t>% Détenu</t>
  </si>
  <si>
    <t xml:space="preserve">Montant des </t>
  </si>
  <si>
    <t xml:space="preserve">capitaux propres filiale </t>
  </si>
  <si>
    <t xml:space="preserve">Résultat dernier </t>
  </si>
  <si>
    <t xml:space="preserve">exercice filiale  </t>
  </si>
  <si>
    <t>ACTIF CIRCULANT HAO</t>
  </si>
  <si>
    <t>Variation en %</t>
  </si>
  <si>
    <t xml:space="preserve">Créances sur cessions d'immobilisations </t>
  </si>
  <si>
    <t xml:space="preserve">Autres créances hors activités ordinaires </t>
  </si>
  <si>
    <t xml:space="preserve"> TOTAL BRUT </t>
  </si>
  <si>
    <t xml:space="preserve">Dépréciations des créances HAO </t>
  </si>
  <si>
    <t>DETTES  CIRCULANTES HAO</t>
  </si>
  <si>
    <t xml:space="preserve">Fournisseurs d'investissements </t>
  </si>
  <si>
    <t xml:space="preserve">Fournisseurs d'investissements effets à payer </t>
  </si>
  <si>
    <t xml:space="preserve">Versements restant à effectuer sur titres de participation et titres immobilisés non libérés </t>
  </si>
  <si>
    <t xml:space="preserve">Autres dettes hors activités ordinaires </t>
  </si>
  <si>
    <t xml:space="preserve">TOTAL  </t>
  </si>
  <si>
    <t xml:space="preserve">et/ou cédée. </t>
  </si>
  <si>
    <t xml:space="preserve">Marchandises </t>
  </si>
  <si>
    <t xml:space="preserve">Matières premières et fournitures liées </t>
  </si>
  <si>
    <t xml:space="preserve">Autres approvisionnements </t>
  </si>
  <si>
    <t xml:space="preserve">Produits en cours </t>
  </si>
  <si>
    <t xml:space="preserve">Services en cours </t>
  </si>
  <si>
    <t xml:space="preserve">Produits finis </t>
  </si>
  <si>
    <t xml:space="preserve">Produits intermédiaires </t>
  </si>
  <si>
    <t xml:space="preserve">Stocks en cours de route, en consignation ou en dépôt </t>
  </si>
  <si>
    <t xml:space="preserve">TOTAL BRUT STOCKS ET EN COURS </t>
  </si>
  <si>
    <t xml:space="preserve">Dépréciations des stocks </t>
  </si>
  <si>
    <t xml:space="preserve">(1)    Les stocks H.A.O. seront inscrits dans l'actif circulant H.A.O. que lorsque leur montant total est significatif (supérieur à 5 % du total de l'actif circulant). </t>
  </si>
  <si>
    <t>CLIENTS</t>
  </si>
  <si>
    <t xml:space="preserve">Créances à plus </t>
  </si>
  <si>
    <t xml:space="preserve">d'un an </t>
  </si>
  <si>
    <t xml:space="preserve">et à deux </t>
  </si>
  <si>
    <t xml:space="preserve">Clients (hors réserves de propriété Groupe) </t>
  </si>
  <si>
    <t xml:space="preserve">Clients effets à recevoir (hors réserves de propriété groupe) </t>
  </si>
  <si>
    <t xml:space="preserve">Clients et effets à recevoir  avec réserves de propriété  </t>
  </si>
  <si>
    <t xml:space="preserve">Clients et effets à recevoir Groupe  </t>
  </si>
  <si>
    <t xml:space="preserve">Créances sur cession d'immobilisations </t>
  </si>
  <si>
    <t xml:space="preserve">Clients effets escomptés et non échus </t>
  </si>
  <si>
    <t xml:space="preserve">Créances litigieuses ou douteuses </t>
  </si>
  <si>
    <t xml:space="preserve">Clients produits à recevoir </t>
  </si>
  <si>
    <t xml:space="preserve">TOTAL BRUT CLIENTS </t>
  </si>
  <si>
    <t xml:space="preserve">Dépréciations des comptes clients </t>
  </si>
  <si>
    <t xml:space="preserve">Clients, avances reçues hors groupe </t>
  </si>
  <si>
    <t xml:space="preserve">Clients, avances reçues  groupe </t>
  </si>
  <si>
    <t xml:space="preserve">Autres clients créditeurs  </t>
  </si>
  <si>
    <t xml:space="preserve">TOTAL CLIENTS CREDITEURS </t>
  </si>
  <si>
    <t>AUTRES CREANCES</t>
  </si>
  <si>
    <t xml:space="preserve">ans au plus </t>
  </si>
  <si>
    <t xml:space="preserve">Organismes sociaux </t>
  </si>
  <si>
    <t xml:space="preserve">Etat et Collectivités publiques </t>
  </si>
  <si>
    <t xml:space="preserve">Apporteurs, associés et groupe </t>
  </si>
  <si>
    <t xml:space="preserve">Compte transitoire ajustement spécial lié à la révision du SYSCOHADA </t>
  </si>
  <si>
    <t xml:space="preserve">Autres débiteurs divers </t>
  </si>
  <si>
    <t xml:space="preserve">Comptes permanents non bloqués des établissements et des succursales </t>
  </si>
  <si>
    <t xml:space="preserve">Comptes de liaison charges et produits </t>
  </si>
  <si>
    <t xml:space="preserve">Comptes de liaison des sociétés en participation </t>
  </si>
  <si>
    <t xml:space="preserve">TOTAL BRUT AUTRES CREANCES </t>
  </si>
  <si>
    <t xml:space="preserve">Dépréciations des autres créances </t>
  </si>
  <si>
    <t>NOTE 8A: TABLEAU D’ETALEMENT DES CHARGES IMMOBILISEES</t>
  </si>
  <si>
    <t xml:space="preserve">Frais d'établissement </t>
  </si>
  <si>
    <t xml:space="preserve">Charges à repartir sur plusieurs exercices </t>
  </si>
  <si>
    <t xml:space="preserve">Primes de remboursement des obligations </t>
  </si>
  <si>
    <t xml:space="preserve">Durée d'étalement retenue </t>
  </si>
  <si>
    <t xml:space="preserve">Exercice 2018 </t>
  </si>
  <si>
    <t xml:space="preserve">Comptes  </t>
  </si>
  <si>
    <t xml:space="preserve">Montants </t>
  </si>
  <si>
    <t xml:space="preserve">Comptes </t>
  </si>
  <si>
    <t xml:space="preserve">60... </t>
  </si>
  <si>
    <t xml:space="preserve">61... </t>
  </si>
  <si>
    <t xml:space="preserve">62... </t>
  </si>
  <si>
    <t xml:space="preserve">63... </t>
  </si>
  <si>
    <t xml:space="preserve">... </t>
  </si>
  <si>
    <t xml:space="preserve">Total exercice 2018 </t>
  </si>
  <si>
    <t xml:space="preserve">Total exercice 2019 </t>
  </si>
  <si>
    <t xml:space="preserve">Total exercice 2020 </t>
  </si>
  <si>
    <t xml:space="preserve">Total exercice 2021 </t>
  </si>
  <si>
    <t xml:space="preserve">Total exercice 2022 </t>
  </si>
  <si>
    <t>TITRES DE PLACEMENT</t>
  </si>
  <si>
    <t>N-1</t>
  </si>
  <si>
    <t xml:space="preserve">Titres de trésor et bons de caisse à court terme </t>
  </si>
  <si>
    <t xml:space="preserve">Actions </t>
  </si>
  <si>
    <t xml:space="preserve">Obligations </t>
  </si>
  <si>
    <t xml:space="preserve">Bons de souscription </t>
  </si>
  <si>
    <t xml:space="preserve">Titres négociables hors régions </t>
  </si>
  <si>
    <t xml:space="preserve">Autres valeurs assimilés </t>
  </si>
  <si>
    <t xml:space="preserve">TOTAL BRUT TITRES </t>
  </si>
  <si>
    <t xml:space="preserve">Dépréciations des titres  </t>
  </si>
  <si>
    <t>VALEURS A ENCAISSER</t>
  </si>
  <si>
    <t xml:space="preserve">Effets à encaisser </t>
  </si>
  <si>
    <t xml:space="preserve">Effets à l'encaissement </t>
  </si>
  <si>
    <t xml:space="preserve">Chèques à encaisser </t>
  </si>
  <si>
    <t xml:space="preserve">Chèques à l'encaissement </t>
  </si>
  <si>
    <t xml:space="preserve">Cartes de crédit à encaisser </t>
  </si>
  <si>
    <t xml:space="preserve">Autres valeurs à encaisser </t>
  </si>
  <si>
    <t xml:space="preserve">TOTAL BRUT VALEURS A ENCAISSER </t>
  </si>
  <si>
    <t xml:space="preserve">Dépréciations des valeurs à encaisser </t>
  </si>
  <si>
    <r>
      <t xml:space="preserve">Dettes financières et ressources </t>
    </r>
    <r>
      <rPr>
        <b/>
        <u/>
        <sz val="9"/>
        <color rgb="FF000000"/>
        <rFont val="Arial"/>
        <family val="2"/>
      </rPr>
      <t>assimilées</t>
    </r>
    <r>
      <rPr>
        <b/>
        <sz val="9"/>
        <color rgb="FF000000"/>
        <rFont val="Arial"/>
        <family val="2"/>
      </rPr>
      <t xml:space="preserve"> : </t>
    </r>
  </si>
  <si>
    <r>
      <t xml:space="preserve">TOTAL  </t>
    </r>
    <r>
      <rPr>
        <sz val="9"/>
        <color rgb="FFFFFFFF"/>
        <rFont val="Arial"/>
        <family val="2"/>
      </rPr>
      <t xml:space="preserve">        </t>
    </r>
  </si>
  <si>
    <r>
      <t>Commentaire :</t>
    </r>
    <r>
      <rPr>
        <sz val="9"/>
        <color rgb="FF000000"/>
        <rFont val="Arial"/>
        <family val="2"/>
      </rPr>
      <t xml:space="preserve">   </t>
    </r>
  </si>
  <si>
    <r>
      <t>•</t>
    </r>
    <r>
      <rPr>
        <sz val="9"/>
        <color rgb="FF000000"/>
        <rFont val="Times New Roman"/>
        <family val="1"/>
      </rPr>
      <t xml:space="preserve">      </t>
    </r>
    <r>
      <rPr>
        <i/>
        <sz val="9"/>
        <color rgb="FF000000"/>
        <rFont val="Arial"/>
        <family val="2"/>
      </rPr>
      <t>Indiquer la raison d'être des suretés.</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</si>
  <si>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Indiquer : </t>
    </r>
  </si>
  <si>
    <t xml:space="preserve">                                              SITUATIONS ET MOUVEMENTS </t>
  </si>
  <si>
    <t xml:space="preserve">                      </t>
  </si>
  <si>
    <r>
      <t>NOTE</t>
    </r>
    <r>
      <rPr>
        <b/>
        <sz val="11"/>
        <color rgb="FF002060"/>
        <rFont val="Arial"/>
        <family val="2"/>
      </rPr>
      <t xml:space="preserve">  2 </t>
    </r>
  </si>
  <si>
    <t xml:space="preserve"> INFORMATIONS OBLIGATOIRES </t>
  </si>
  <si>
    <t xml:space="preserve">D - INFORMATIONS COMPLEMENTAIRES RELATIVES AU BILAN, AU COMPTE DE </t>
  </si>
  <si>
    <t xml:space="preserve">NOTE 3B </t>
  </si>
  <si>
    <r>
      <t>[</t>
    </r>
    <r>
      <rPr>
        <vertAlign val="superscript"/>
        <sz val="9"/>
        <color rgb="FF000000"/>
        <rFont val="Arial"/>
        <family val="2"/>
      </rPr>
      <t>1</t>
    </r>
    <r>
      <rPr>
        <sz val="9"/>
        <color rgb="FF000000"/>
        <rFont val="Arial"/>
        <family val="2"/>
      </rPr>
      <t xml:space="preserve">] I : Crédit-bail immobilier ; M : Crédit-bail mobilier ; A : Autres contrats (dédoubler le poste si montants significatifs) </t>
    </r>
  </si>
  <si>
    <r>
      <t>NOTE 3D : IMMOBILISATIONS (PLUS-VALUES ET MOINS VALUE DE CESSION)</t>
    </r>
    <r>
      <rPr>
        <sz val="9"/>
        <color rgb="FF000000"/>
        <rFont val="Calibri"/>
        <family val="2"/>
      </rPr>
      <t xml:space="preserve"> </t>
    </r>
  </si>
  <si>
    <r>
      <t>Commentaire</t>
    </r>
    <r>
      <rPr>
        <sz val="9"/>
        <color rgb="FF000000"/>
        <rFont val="Arial"/>
        <family val="2"/>
      </rPr>
      <t xml:space="preserve"> :  </t>
    </r>
  </si>
  <si>
    <t>. Mentionner la justification de la cession ainsi que la date et la date de sortie.</t>
  </si>
  <si>
    <r>
      <t xml:space="preserve">NOTE 3E : INFORMATIONS SUR LES REEVALUATIONS EFFECTUEES </t>
    </r>
    <r>
      <rPr>
        <b/>
        <vertAlign val="subscript"/>
        <sz val="9"/>
        <color rgb="FF000000"/>
        <rFont val="Times New Roman"/>
        <family val="1"/>
      </rPr>
      <t xml:space="preserve"> </t>
    </r>
  </si>
  <si>
    <r>
      <t xml:space="preserve">Nature et date des réévaluations :  </t>
    </r>
    <r>
      <rPr>
        <sz val="9"/>
        <color rgb="FF000000"/>
        <rFont val="Arial"/>
        <family val="2"/>
      </rPr>
      <t xml:space="preserve">         </t>
    </r>
  </si>
  <si>
    <r>
      <t xml:space="preserve">   </t>
    </r>
    <r>
      <rPr>
        <sz val="9"/>
        <color rgb="FF000000"/>
        <rFont val="Arial"/>
        <family val="2"/>
      </rPr>
      <t xml:space="preserve">  </t>
    </r>
  </si>
  <si>
    <r>
      <t xml:space="preserve">Méthode de réévaluation utilisée :  </t>
    </r>
    <r>
      <rPr>
        <sz val="9"/>
        <color rgb="FF000000"/>
        <rFont val="Arial"/>
        <family val="2"/>
      </rPr>
      <t xml:space="preserve">         </t>
    </r>
  </si>
  <si>
    <r>
      <t xml:space="preserve">   </t>
    </r>
    <r>
      <rPr>
        <sz val="9"/>
        <color rgb="FF000000"/>
        <rFont val="Arial"/>
        <family val="2"/>
      </rPr>
      <t xml:space="preserve">               </t>
    </r>
  </si>
  <si>
    <r>
      <t xml:space="preserve">Traitement fiscal de l'écart de réévaluation et des amortissements supplémentaires :  </t>
    </r>
    <r>
      <rPr>
        <sz val="9"/>
        <color rgb="FF000000"/>
        <rFont val="Arial"/>
        <family val="2"/>
      </rPr>
      <t xml:space="preserve">  </t>
    </r>
  </si>
  <si>
    <r>
      <t xml:space="preserve">                </t>
    </r>
    <r>
      <rPr>
        <b/>
        <u/>
        <sz val="11"/>
        <color rgb="FF002060"/>
        <rFont val="Times New Roman"/>
        <family val="1"/>
      </rPr>
      <t>NOTE</t>
    </r>
    <r>
      <rPr>
        <b/>
        <sz val="11"/>
        <color rgb="FF002060"/>
        <rFont val="Times New Roman"/>
        <family val="1"/>
      </rPr>
      <t xml:space="preserve"> 4</t>
    </r>
  </si>
  <si>
    <r>
      <t>•</t>
    </r>
    <r>
      <rPr>
        <sz val="9"/>
        <color rgb="FF000000"/>
        <rFont val="Times New Roman"/>
        <family val="1"/>
      </rPr>
      <t xml:space="preserve">      </t>
    </r>
    <r>
      <rPr>
        <i/>
        <sz val="9"/>
        <color rgb="FF000000"/>
        <rFont val="Arial"/>
        <family val="2"/>
      </rPr>
      <t xml:space="preserve">Justifier toute  variation  significative. </t>
    </r>
  </si>
  <si>
    <r>
      <t>•</t>
    </r>
    <r>
      <rPr>
        <sz val="9"/>
        <color rgb="FF000000"/>
        <rFont val="Times New Roman"/>
        <family val="1"/>
      </rPr>
      <t xml:space="preserve">      </t>
    </r>
    <r>
      <rPr>
        <i/>
        <sz val="9"/>
        <color rgb="FF000000"/>
        <rFont val="Arial"/>
        <family val="2"/>
      </rPr>
      <t xml:space="preserve">Commenter toutes les créances anciennes. </t>
    </r>
  </si>
  <si>
    <r>
      <t>•</t>
    </r>
    <r>
      <rPr>
        <sz val="9"/>
        <color rgb="FF000000"/>
        <rFont val="Times New Roman"/>
        <family val="1"/>
      </rPr>
      <t xml:space="preserve">      </t>
    </r>
    <r>
      <rPr>
        <i/>
        <sz val="9"/>
        <color rgb="FF000000"/>
        <rFont val="Arial"/>
        <family val="2"/>
      </rPr>
      <t xml:space="preserve">Pour les créances relatives à la concession, faire un descriptif de l'accord.  </t>
    </r>
  </si>
  <si>
    <r>
      <t xml:space="preserve">- </t>
    </r>
    <r>
      <rPr>
        <i/>
        <sz val="9"/>
        <color rgb="FF000000"/>
        <rFont val="Arial"/>
        <family val="2"/>
      </rPr>
      <t xml:space="preserve">la nature de la créance ; </t>
    </r>
  </si>
  <si>
    <r>
      <t xml:space="preserve">- </t>
    </r>
    <r>
      <rPr>
        <i/>
        <sz val="9"/>
        <color rgb="FF000000"/>
        <rFont val="Arial"/>
        <family val="2"/>
      </rPr>
      <t xml:space="preserve">la durée de la concession ; </t>
    </r>
  </si>
  <si>
    <r>
      <t xml:space="preserve">- </t>
    </r>
    <r>
      <rPr>
        <i/>
        <sz val="9"/>
        <color rgb="FF000000"/>
        <rFont val="Arial"/>
        <family val="2"/>
      </rPr>
      <t xml:space="preserve">l'échéance. </t>
    </r>
  </si>
  <si>
    <r>
      <t>•</t>
    </r>
    <r>
      <rPr>
        <sz val="9"/>
        <color rgb="FF000000"/>
        <rFont val="Times New Roman"/>
        <family val="1"/>
      </rPr>
      <t xml:space="preserve">      </t>
    </r>
    <r>
      <rPr>
        <i/>
        <sz val="9"/>
        <color rgb="FF000000"/>
        <rFont val="Arial"/>
        <family val="2"/>
      </rPr>
      <t xml:space="preserve">Indiquer le nombre et la date d'acquisition des actions ou parts propres. </t>
    </r>
  </si>
  <si>
    <r>
      <t>•</t>
    </r>
    <r>
      <rPr>
        <sz val="9"/>
        <color rgb="FF000000"/>
        <rFont val="Times New Roman"/>
        <family val="1"/>
      </rPr>
      <t xml:space="preserve">      </t>
    </r>
    <r>
      <rPr>
        <i/>
        <sz val="9"/>
        <color rgb="FF000000"/>
        <rFont val="Arial"/>
        <family val="2"/>
      </rPr>
      <t xml:space="preserve">Dépréciation : indiquer les évènements et les circonstances qui ont motivé la  dépréciation ou la reprise. </t>
    </r>
  </si>
  <si>
    <r>
      <t xml:space="preserve">Commentaire </t>
    </r>
    <r>
      <rPr>
        <sz val="9"/>
        <color rgb="FF000000"/>
        <rFont val="Arial"/>
        <family val="2"/>
      </rPr>
      <t xml:space="preserve">:  </t>
    </r>
  </si>
  <si>
    <r>
      <t>Commentaire</t>
    </r>
    <r>
      <rPr>
        <sz val="9"/>
        <color rgb="FF000000"/>
        <rFont val="Arial"/>
        <family val="2"/>
      </rPr>
      <t xml:space="preserve">:  </t>
    </r>
  </si>
  <si>
    <r>
      <t xml:space="preserve">•       </t>
    </r>
    <r>
      <rPr>
        <i/>
        <sz val="9"/>
        <color rgb="FF000000"/>
        <rFont val="Arial"/>
        <family val="2"/>
      </rPr>
      <t xml:space="preserve">Commenter toute  variation  significative. </t>
    </r>
  </si>
  <si>
    <r>
      <t xml:space="preserve">•       </t>
    </r>
    <r>
      <rPr>
        <i/>
        <sz val="9"/>
        <color rgb="FF000000"/>
        <rFont val="Arial"/>
        <family val="2"/>
      </rPr>
      <t xml:space="preserve">Dépréciation : indiquer les évènements et les circonstances qui ont motivé la dépréciation ou la reprise. </t>
    </r>
    <r>
      <rPr>
        <sz val="9"/>
        <color rgb="FF000000"/>
        <rFont val="Arial"/>
        <family val="2"/>
      </rPr>
      <t xml:space="preserve"> </t>
    </r>
  </si>
  <si>
    <r>
      <t xml:space="preserve">•      </t>
    </r>
    <r>
      <rPr>
        <i/>
        <sz val="9"/>
        <color rgb="FF000000"/>
        <rFont val="Arial"/>
        <family val="2"/>
      </rPr>
      <t xml:space="preserve">Indiquer la date de cession et la nature de l'immobilisation achetée </t>
    </r>
  </si>
  <si>
    <r>
      <t xml:space="preserve">•      </t>
    </r>
    <r>
      <rPr>
        <i/>
        <sz val="9"/>
        <color rgb="FF000000"/>
        <rFont val="Arial"/>
        <family val="2"/>
      </rPr>
      <t>Expliciter toute variation significative.</t>
    </r>
    <r>
      <rPr>
        <sz val="9"/>
        <color rgb="FF000000"/>
        <rFont val="Arial"/>
        <family val="2"/>
      </rPr>
      <t xml:space="preserve"> </t>
    </r>
  </si>
  <si>
    <r>
      <t>NOTE</t>
    </r>
    <r>
      <rPr>
        <b/>
        <sz val="11"/>
        <color rgb="FF002060"/>
        <rFont val="Arial"/>
        <family val="2"/>
      </rPr>
      <t xml:space="preserve"> 5 </t>
    </r>
  </si>
  <si>
    <t>IMMOBILISATION (AMORTISSEMENTS)</t>
  </si>
  <si>
    <t>D = A + B - C</t>
  </si>
  <si>
    <t>AMORTISSEMENTS CUMULES A L’OUVERTURE DE L’EXERCICE</t>
  </si>
  <si>
    <t>AUGMENTATIONS : DOTATIONS DE l’EXERCICE</t>
  </si>
  <si>
    <t>DIMINUTIONS : Amortissements relatifs aux éléments sortis de l’actif</t>
  </si>
  <si>
    <t>CUMUL DES AMORTISSEMENTS A LA CLOTURE DE L’EXERCICE</t>
  </si>
  <si>
    <t>Frais de développement et de prospection</t>
  </si>
  <si>
    <t>Brevets, licences, logiciels et droits similaires</t>
  </si>
  <si>
    <t>Fonds commercial et droit au bail</t>
  </si>
  <si>
    <t>Autres immobilisations incorporelles</t>
  </si>
  <si>
    <t>SOUS TOTAL : IMMOBILISATIONS INCORPORELLES</t>
  </si>
  <si>
    <t>Terrains hors immeuble de placement</t>
  </si>
  <si>
    <t>Terrains-immeuble de placement</t>
  </si>
  <si>
    <t>Bâtiments hors immeuble de placement</t>
  </si>
  <si>
    <t>Bâtiments-immeuble de placement</t>
  </si>
  <si>
    <t>Aménagements, agencements et installations</t>
  </si>
  <si>
    <t>Matériel, mobilier et actifs biologiques</t>
  </si>
  <si>
    <t>Matériel de transport</t>
  </si>
  <si>
    <t>SOUS TOTAL : IMMOBILISATIONS CORPORELLES</t>
  </si>
  <si>
    <t>TOTAL GENERAL</t>
  </si>
  <si>
    <t>Commentaire :</t>
  </si>
  <si>
    <r>
      <t>NOTE</t>
    </r>
    <r>
      <rPr>
        <b/>
        <sz val="11"/>
        <color rgb="FF002060"/>
        <rFont val="Cambria"/>
        <family val="1"/>
      </rPr>
      <t xml:space="preserve"> 3C</t>
    </r>
  </si>
  <si>
    <r>
      <t xml:space="preserve"> Commentaire </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</si>
  <si>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Indiquer la date de prise d'inventaire et décrire brièvement la procédure, les méthodes comptables adoptées pour évaluer le stock. </t>
    </r>
  </si>
  <si>
    <r>
      <t>•</t>
    </r>
    <r>
      <rPr>
        <sz val="9"/>
        <color rgb="FF000000"/>
        <rFont val="Times New Roman"/>
        <family val="1"/>
      </rPr>
      <t xml:space="preserve">      </t>
    </r>
    <r>
      <rPr>
        <i/>
        <sz val="9"/>
        <color rgb="FF000000"/>
        <rFont val="Arial"/>
        <family val="2"/>
      </rPr>
      <t xml:space="preserve">Commenter toute variation significative des stocks. </t>
    </r>
  </si>
  <si>
    <r>
      <t>•</t>
    </r>
    <r>
      <rPr>
        <sz val="9"/>
        <color rgb="FF000000"/>
        <rFont val="Times New Roman"/>
        <family val="1"/>
      </rPr>
      <t xml:space="preserve">      </t>
    </r>
    <r>
      <rPr>
        <i/>
        <sz val="9"/>
        <color rgb="FF000000"/>
        <rFont val="Arial"/>
        <family val="2"/>
      </rPr>
      <t>Indiquer le détail des stocks dépréciés et les évènements et circonstances qui ont conduit à la dépréciation et à la reprise.</t>
    </r>
    <r>
      <rPr>
        <sz val="9"/>
        <color rgb="FF000000"/>
        <rFont val="Arial"/>
        <family val="2"/>
      </rPr>
      <t xml:space="preserve"> </t>
    </r>
  </si>
  <si>
    <r>
      <t>NOTE</t>
    </r>
    <r>
      <rPr>
        <b/>
        <sz val="11"/>
        <color rgb="FF002060"/>
        <rFont val="Times New Roman"/>
        <family val="1"/>
      </rPr>
      <t xml:space="preserve"> 6</t>
    </r>
  </si>
  <si>
    <r>
      <t xml:space="preserve">STOCKS ET EN COURS </t>
    </r>
    <r>
      <rPr>
        <b/>
        <vertAlign val="superscript"/>
        <sz val="11"/>
        <color rgb="FF548DD4"/>
        <rFont val="Times New Roman"/>
        <family val="1"/>
      </rPr>
      <t>(1)</t>
    </r>
  </si>
  <si>
    <r>
      <t xml:space="preserve"> </t>
    </r>
    <r>
      <rPr>
        <b/>
        <sz val="9"/>
        <color rgb="FF000000"/>
        <rFont val="Arial"/>
        <family val="2"/>
      </rPr>
      <t xml:space="preserve">Commentaire </t>
    </r>
    <r>
      <rPr>
        <sz val="9"/>
        <color rgb="FF000000"/>
        <rFont val="Arial"/>
        <family val="2"/>
      </rPr>
      <t xml:space="preserve">: </t>
    </r>
  </si>
  <si>
    <r>
      <t xml:space="preserve"> </t>
    </r>
    <r>
      <rPr>
        <b/>
        <u/>
        <sz val="11"/>
        <color rgb="FF002060"/>
        <rFont val="Times New Roman"/>
        <family val="1"/>
      </rPr>
      <t>NOTE</t>
    </r>
    <r>
      <rPr>
        <b/>
        <sz val="11"/>
        <color rgb="FF002060"/>
        <rFont val="Times New Roman"/>
        <family val="1"/>
      </rPr>
      <t xml:space="preserve"> 7 </t>
    </r>
  </si>
  <si>
    <r>
      <t>•</t>
    </r>
    <r>
      <rPr>
        <sz val="9"/>
        <color rgb="FF000000"/>
        <rFont val="Times New Roman"/>
        <family val="1"/>
      </rPr>
      <t xml:space="preserve">      </t>
    </r>
    <r>
      <rPr>
        <i/>
        <sz val="9"/>
        <color rgb="FF000000"/>
        <rFont val="Arial"/>
        <family val="2"/>
      </rPr>
      <t xml:space="preserve">Justifier toute variation significative. </t>
    </r>
  </si>
  <si>
    <r>
      <t>NOTE</t>
    </r>
    <r>
      <rPr>
        <b/>
        <sz val="9"/>
        <color rgb="FF002060"/>
        <rFont val="Arial"/>
        <family val="2"/>
      </rPr>
      <t xml:space="preserve"> 8 </t>
    </r>
  </si>
  <si>
    <r>
      <t xml:space="preserve">•      </t>
    </r>
    <r>
      <rPr>
        <i/>
        <sz val="9"/>
        <color rgb="FF000000"/>
        <rFont val="Arial"/>
        <family val="2"/>
      </rPr>
      <t xml:space="preserve">Justifier toute variation significative. </t>
    </r>
  </si>
  <si>
    <r>
      <t xml:space="preserve">•      </t>
    </r>
    <r>
      <rPr>
        <i/>
        <sz val="9"/>
        <color rgb="FF000000"/>
        <rFont val="Arial"/>
        <family val="2"/>
      </rPr>
      <t xml:space="preserve">Détailler les créances dont le montant est significatif. </t>
    </r>
  </si>
  <si>
    <r>
      <t xml:space="preserve">•      </t>
    </r>
    <r>
      <rPr>
        <i/>
        <sz val="9"/>
        <color rgb="FF000000"/>
        <rFont val="Arial"/>
        <family val="2"/>
      </rPr>
      <t xml:space="preserve">Justifier les créances anciennes. </t>
    </r>
  </si>
  <si>
    <r>
      <t xml:space="preserve">•      </t>
    </r>
    <r>
      <rPr>
        <i/>
        <sz val="9"/>
        <color rgb="FF000000"/>
        <rFont val="Arial"/>
        <family val="2"/>
      </rPr>
      <t xml:space="preserve">Indiquer  les événements et circonstances qui ont conduit à la dépréciation et à la reprise. </t>
    </r>
  </si>
  <si>
    <r>
      <t xml:space="preserve">•      </t>
    </r>
    <r>
      <rPr>
        <i/>
        <sz val="9"/>
        <color rgb="FF000000"/>
        <rFont val="Arial"/>
        <family val="2"/>
      </rPr>
      <t xml:space="preserve">Compte transitoire ajustement spécial, indiquer le détail du compte et la durée restant pour l'apurement. </t>
    </r>
  </si>
  <si>
    <r>
      <t>NOTE</t>
    </r>
    <r>
      <rPr>
        <b/>
        <sz val="11"/>
        <color rgb="FF002060"/>
        <rFont val="Times New Roman"/>
        <family val="1"/>
      </rPr>
      <t xml:space="preserve"> 8A</t>
    </r>
    <r>
      <rPr>
        <b/>
        <sz val="11"/>
        <color rgb="FF000000"/>
        <rFont val="Times New Roman"/>
        <family val="1"/>
      </rPr>
      <t xml:space="preserve"> </t>
    </r>
  </si>
  <si>
    <r>
      <t>Montant global à étaler au 1</t>
    </r>
    <r>
      <rPr>
        <b/>
        <vertAlign val="superscript"/>
        <sz val="9"/>
        <color rgb="FF000000"/>
        <rFont val="Arial"/>
        <family val="2"/>
      </rPr>
      <t>er</t>
    </r>
    <r>
      <rPr>
        <b/>
        <sz val="9"/>
        <color rgb="FF000000"/>
        <rFont val="Arial"/>
        <family val="2"/>
      </rPr>
      <t xml:space="preserve"> janvier 2018 </t>
    </r>
  </si>
  <si>
    <r>
      <t xml:space="preserve">TABLEAU D’ETALEMENT DES CHARGES IMMOBILISEES </t>
    </r>
    <r>
      <rPr>
        <sz val="9"/>
        <color rgb="FF000000"/>
        <rFont val="Calibri"/>
        <family val="2"/>
        <scheme val="minor"/>
      </rPr>
      <t xml:space="preserve"> </t>
    </r>
  </si>
  <si>
    <r>
      <t xml:space="preserve"> </t>
    </r>
    <r>
      <rPr>
        <b/>
        <sz val="9"/>
        <color rgb="FFFFFFFF"/>
        <rFont val="Arial"/>
        <family val="2"/>
      </rPr>
      <t xml:space="preserve">Libellés </t>
    </r>
  </si>
  <si>
    <r>
      <t>Variation en</t>
    </r>
    <r>
      <rPr>
        <sz val="9"/>
        <color rgb="FF000000"/>
        <rFont val="Arial"/>
        <family val="2"/>
      </rPr>
      <t xml:space="preserve"> </t>
    </r>
    <r>
      <rPr>
        <b/>
        <sz val="9"/>
        <color rgb="FFFFFFFF"/>
        <rFont val="Arial"/>
        <family val="2"/>
      </rPr>
      <t>%</t>
    </r>
  </si>
  <si>
    <r>
      <t>Commentaires</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</si>
  <si>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Pour les titres cotés à une bourse de valeur : indiquer le nombre, le prix unitaire d'acquisition et le cours de la bourse au 31 décembre. </t>
    </r>
  </si>
  <si>
    <r>
      <t>•</t>
    </r>
    <r>
      <rPr>
        <sz val="9"/>
        <color rgb="FF000000"/>
        <rFont val="Times New Roman"/>
        <family val="1"/>
      </rPr>
      <t xml:space="preserve">      </t>
    </r>
    <r>
      <rPr>
        <i/>
        <sz val="9"/>
        <color rgb="FF000000"/>
        <rFont val="Arial"/>
        <family val="2"/>
      </rPr>
      <t xml:space="preserve">Faire ressortir les actions ou parts propres et indiquer la date d'acquisition et le nombre de titres détenus. </t>
    </r>
  </si>
  <si>
    <r>
      <t>•</t>
    </r>
    <r>
      <rPr>
        <sz val="9"/>
        <color rgb="FF000000"/>
        <rFont val="Times New Roman"/>
        <family val="1"/>
      </rPr>
      <t xml:space="preserve">      </t>
    </r>
    <r>
      <rPr>
        <i/>
        <sz val="9"/>
        <color rgb="FF000000"/>
        <rFont val="Arial"/>
        <family val="2"/>
      </rPr>
      <t>Indiquer  les événements et circonstances qui ont conduit à la dépréciation et à la reprise.</t>
    </r>
    <r>
      <rPr>
        <i/>
        <sz val="9"/>
        <color rgb="FF000000"/>
        <rFont val="Times New Roman"/>
        <family val="1"/>
      </rPr>
      <t xml:space="preserve"> </t>
    </r>
  </si>
  <si>
    <r>
      <t xml:space="preserve"> </t>
    </r>
    <r>
      <rPr>
        <b/>
        <u/>
        <sz val="11"/>
        <color rgb="FF002060"/>
        <rFont val="Times New Roman"/>
        <family val="1"/>
      </rPr>
      <t>NOTE</t>
    </r>
    <r>
      <rPr>
        <b/>
        <sz val="11"/>
        <color rgb="FF002060"/>
        <rFont val="Times New Roman"/>
        <family val="1"/>
      </rPr>
      <t xml:space="preserve"> 9 </t>
    </r>
  </si>
  <si>
    <r>
      <t xml:space="preserve">Commentaires </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</si>
  <si>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Commenter toute variation significative ; </t>
    </r>
  </si>
  <si>
    <r>
      <t>•</t>
    </r>
    <r>
      <rPr>
        <sz val="9"/>
        <color rgb="FF000000"/>
        <rFont val="Times New Roman"/>
        <family val="1"/>
      </rPr>
      <t xml:space="preserve">      </t>
    </r>
    <r>
      <rPr>
        <i/>
        <sz val="9"/>
        <color rgb="FF000000"/>
        <rFont val="Arial"/>
        <family val="2"/>
      </rPr>
      <t xml:space="preserve">Indiquer  les événements et circonstances qui ont conduit à la dépréciation et  à la reprise. </t>
    </r>
  </si>
  <si>
    <r>
      <t>NOTE</t>
    </r>
    <r>
      <rPr>
        <b/>
        <sz val="11"/>
        <color rgb="FF002060"/>
        <rFont val="Times New Roman"/>
        <family val="1"/>
      </rPr>
      <t xml:space="preserve"> 10 </t>
    </r>
  </si>
  <si>
    <t>NOTE 11 : BANQUES, CHEQUES POSTAUX ET CHEQUES</t>
  </si>
  <si>
    <t>DISPONIBILITES</t>
  </si>
  <si>
    <t xml:space="preserve">Variation </t>
  </si>
  <si>
    <t xml:space="preserve">en % </t>
  </si>
  <si>
    <t xml:space="preserve">Banques locales </t>
  </si>
  <si>
    <t xml:space="preserve">Banques autres états région </t>
  </si>
  <si>
    <t xml:space="preserve">Banques, dépôt à terme </t>
  </si>
  <si>
    <t xml:space="preserve">Autres Banques </t>
  </si>
  <si>
    <t xml:space="preserve">Banques intérêts courus </t>
  </si>
  <si>
    <t xml:space="preserve">Chèques postaux </t>
  </si>
  <si>
    <t xml:space="preserve">Autres établissement financiers </t>
  </si>
  <si>
    <t xml:space="preserve">Etablissement financiers intérêts courus </t>
  </si>
  <si>
    <t xml:space="preserve">Instruments de trésorerie </t>
  </si>
  <si>
    <t xml:space="preserve">Caisse  </t>
  </si>
  <si>
    <t xml:space="preserve">Caisse électronique mobile </t>
  </si>
  <si>
    <t xml:space="preserve">Régies d'avances et virements accréditifs </t>
  </si>
  <si>
    <t xml:space="preserve">TOTAL BRUT DISPONIBILITES </t>
  </si>
  <si>
    <t xml:space="preserve">Dépréciations </t>
  </si>
  <si>
    <t xml:space="preserve">ECARTS DE CONVERSION </t>
  </si>
  <si>
    <t xml:space="preserve">Devises </t>
  </si>
  <si>
    <t xml:space="preserve">Montant en devises </t>
  </si>
  <si>
    <t xml:space="preserve">Cours </t>
  </si>
  <si>
    <t xml:space="preserve">UML </t>
  </si>
  <si>
    <t xml:space="preserve">Année acquisition </t>
  </si>
  <si>
    <t xml:space="preserve">Variation en valeur absolue </t>
  </si>
  <si>
    <t xml:space="preserve">Ecarts de conversion actif : </t>
  </si>
  <si>
    <t xml:space="preserve">Transferts de charges d'exploitation : </t>
  </si>
  <si>
    <t>PRIMES ET RESERVES</t>
  </si>
  <si>
    <r>
      <t xml:space="preserve"> </t>
    </r>
    <r>
      <rPr>
        <sz val="11"/>
        <color rgb="FFFFFFFF"/>
        <rFont val="Arial"/>
        <family val="2"/>
      </rPr>
      <t xml:space="preserve">Libellés </t>
    </r>
  </si>
  <si>
    <t xml:space="preserve">Prime d'apport  </t>
  </si>
  <si>
    <t xml:space="preserve">Primes d'émission </t>
  </si>
  <si>
    <t xml:space="preserve">Prime de fusion </t>
  </si>
  <si>
    <t xml:space="preserve">Prime de conversion </t>
  </si>
  <si>
    <t xml:space="preserve">Autres primes </t>
  </si>
  <si>
    <t xml:space="preserve">TOTAL PRIMES </t>
  </si>
  <si>
    <t xml:space="preserve">Réserves légales </t>
  </si>
  <si>
    <t xml:space="preserve">Réserves statutaires </t>
  </si>
  <si>
    <t xml:space="preserve">Réserves de plus-values nettes à long terme </t>
  </si>
  <si>
    <t xml:space="preserve">Réserves d’attribution gratuite d’actions au personnel salarié et aux dirigeants </t>
  </si>
  <si>
    <t xml:space="preserve">Autres réserves réglementées </t>
  </si>
  <si>
    <t xml:space="preserve">TOTAL RESERVES INDISPONIBLES </t>
  </si>
  <si>
    <t xml:space="preserve">Report à nouveau </t>
  </si>
  <si>
    <r>
      <t xml:space="preserve">           </t>
    </r>
    <r>
      <rPr>
        <b/>
        <u/>
        <sz val="11"/>
        <color rgb="FF002060"/>
        <rFont val="Arial"/>
        <family val="2"/>
      </rPr>
      <t>NOTE</t>
    </r>
    <r>
      <rPr>
        <b/>
        <sz val="11"/>
        <color rgb="FF002060"/>
        <rFont val="Arial"/>
        <family val="2"/>
      </rPr>
      <t xml:space="preserve"> 15 A </t>
    </r>
  </si>
  <si>
    <t>TOTAL SUBVENTIONS ET PROVISIONS REGLEMENTEES</t>
  </si>
  <si>
    <t xml:space="preserve">NOTE </t>
  </si>
  <si>
    <t xml:space="preserve">Régime fiscal </t>
  </si>
  <si>
    <t xml:space="preserve">Echéances </t>
  </si>
  <si>
    <t xml:space="preserve">État </t>
  </si>
  <si>
    <t xml:space="preserve">Régions </t>
  </si>
  <si>
    <t xml:space="preserve">Départements </t>
  </si>
  <si>
    <t xml:space="preserve">Communes et collectivités publiques décentralisées </t>
  </si>
  <si>
    <t xml:space="preserve">Entités publiques ou mixtes </t>
  </si>
  <si>
    <t xml:space="preserve">Entités  et organismes privés </t>
  </si>
  <si>
    <t xml:space="preserve">Autres  </t>
  </si>
  <si>
    <t xml:space="preserve">TOTAL SUBVENTIONS  </t>
  </si>
  <si>
    <t xml:space="preserve">Amortissements dérogatoires </t>
  </si>
  <si>
    <t xml:space="preserve">Plus-value de cession à réinvestir </t>
  </si>
  <si>
    <t xml:space="preserve">Provision spéciale de réévaluation </t>
  </si>
  <si>
    <t xml:space="preserve">Provisions réglementées relatives aux immobilisations </t>
  </si>
  <si>
    <t xml:space="preserve">Provisions réglementés relatives aux stocks </t>
  </si>
  <si>
    <t xml:space="preserve">Provisions pour investissement </t>
  </si>
  <si>
    <t xml:space="preserve">Autres provisions et fonds réglementées </t>
  </si>
  <si>
    <t xml:space="preserve">TOTAL PROVISIONS REGLEMENTEES </t>
  </si>
  <si>
    <t xml:space="preserve">TOTAL SUBVENTIONS ET </t>
  </si>
  <si>
    <t xml:space="preserve">PROVISIONS REGLEMENTEES </t>
  </si>
  <si>
    <r>
      <t>Commentaire</t>
    </r>
    <r>
      <rPr>
        <sz val="10"/>
        <color rgb="FF000000"/>
        <rFont val="Arial"/>
        <family val="2"/>
      </rPr>
      <t xml:space="preserve">:  </t>
    </r>
  </si>
  <si>
    <t xml:space="preserve">Indiquer pour la subvention la date d’octroi, la nature, les obligations éventuelles. Pour les provisions réglementées, indiquer le texte de référence, les obligations. Commenter toute variation significative. </t>
  </si>
  <si>
    <r>
      <t>NOTE</t>
    </r>
    <r>
      <rPr>
        <b/>
        <sz val="11"/>
        <color rgb="FF002060"/>
        <rFont val="Times New Roman"/>
        <family val="1"/>
      </rPr>
      <t xml:space="preserve"> 15 B </t>
    </r>
  </si>
  <si>
    <t xml:space="preserve">AUTRES FONDS PROPRES (1) </t>
  </si>
  <si>
    <t xml:space="preserve">Titres participatifs </t>
  </si>
  <si>
    <r>
      <t xml:space="preserve">Avances conditionnées </t>
    </r>
    <r>
      <rPr>
        <vertAlign val="superscript"/>
        <sz val="11"/>
        <color rgb="FF000000"/>
        <rFont val="Arial"/>
        <family val="2"/>
      </rPr>
      <t>(1)</t>
    </r>
  </si>
  <si>
    <t xml:space="preserve">Titres subordonnés à durée indéterminée (T.S.D.I.) </t>
  </si>
  <si>
    <t xml:space="preserve">Obligations remboursables en actions (O.R.A.) </t>
  </si>
  <si>
    <t xml:space="preserve">TOTAL AUTRES FONDS PROPRES </t>
  </si>
  <si>
    <r>
      <t xml:space="preserve"> </t>
    </r>
    <r>
      <rPr>
        <b/>
        <sz val="11"/>
        <color rgb="FF000000"/>
        <rFont val="Arial"/>
        <family val="2"/>
      </rPr>
      <t xml:space="preserve">Commentaire : </t>
    </r>
  </si>
  <si>
    <r>
      <t>•</t>
    </r>
    <r>
      <rPr>
        <sz val="9"/>
        <color rgb="FF000000"/>
        <rFont val="Times New Roman"/>
        <family val="1"/>
      </rPr>
      <t xml:space="preserve">      </t>
    </r>
    <r>
      <rPr>
        <i/>
        <sz val="9"/>
        <color rgb="FF000000"/>
        <rFont val="Arial"/>
        <family val="2"/>
      </rPr>
      <t xml:space="preserve">Indiquer la date de rapprochement des comptes bancaires. </t>
    </r>
  </si>
  <si>
    <r>
      <t>•</t>
    </r>
    <r>
      <rPr>
        <sz val="9"/>
        <color rgb="FF000000"/>
        <rFont val="Times New Roman"/>
        <family val="1"/>
      </rPr>
      <t xml:space="preserve">      </t>
    </r>
    <r>
      <rPr>
        <i/>
        <sz val="9"/>
        <color rgb="FF000000"/>
        <rFont val="Arial"/>
        <family val="2"/>
      </rPr>
      <t xml:space="preserve">Indiquer la date d'inventaire de la caisse et des instruments de monnaie électronique. </t>
    </r>
  </si>
  <si>
    <r>
      <t>•</t>
    </r>
    <r>
      <rPr>
        <sz val="9"/>
        <color rgb="FF000000"/>
        <rFont val="Times New Roman"/>
        <family val="1"/>
      </rPr>
      <t xml:space="preserve">      </t>
    </r>
    <r>
      <rPr>
        <i/>
        <sz val="9"/>
        <color rgb="FF000000"/>
        <rFont val="Arial"/>
        <family val="2"/>
      </rPr>
      <t xml:space="preserve">Détailler les instruments de monnaie électronique si le montant est significatif. </t>
    </r>
  </si>
  <si>
    <r>
      <t xml:space="preserve"> </t>
    </r>
    <r>
      <rPr>
        <b/>
        <u/>
        <sz val="11"/>
        <color rgb="FF002060"/>
        <rFont val="Times New Roman"/>
        <family val="1"/>
      </rPr>
      <t>NOTE</t>
    </r>
    <r>
      <rPr>
        <b/>
        <sz val="11"/>
        <color rgb="FF002060"/>
        <rFont val="Times New Roman"/>
        <family val="1"/>
      </rPr>
      <t xml:space="preserve"> 11</t>
    </r>
  </si>
  <si>
    <r>
      <t>NOTE</t>
    </r>
    <r>
      <rPr>
        <b/>
        <sz val="9"/>
        <color rgb="FF002060"/>
        <rFont val="Arial"/>
        <family val="2"/>
      </rPr>
      <t xml:space="preserve"> 12 </t>
    </r>
  </si>
  <si>
    <r>
      <t>détailler les créances et dettes concernées</t>
    </r>
    <r>
      <rPr>
        <sz val="9"/>
        <color rgb="FF000000"/>
        <rFont val="Arial"/>
        <family val="2"/>
      </rPr>
      <t xml:space="preserve"> </t>
    </r>
  </si>
  <si>
    <r>
      <t>Ecart de conversion passif :</t>
    </r>
    <r>
      <rPr>
        <i/>
        <sz val="9"/>
        <color rgb="FF000000"/>
        <rFont val="Arial"/>
        <family val="2"/>
      </rPr>
      <t xml:space="preserve"> détailler les créances et dettes concernées</t>
    </r>
    <r>
      <rPr>
        <sz val="9"/>
        <color rgb="FF000000"/>
        <rFont val="Arial"/>
        <family val="2"/>
      </rPr>
      <t xml:space="preserve"> </t>
    </r>
  </si>
  <si>
    <r>
      <t xml:space="preserve"> Commentaire</t>
    </r>
    <r>
      <rPr>
        <sz val="9"/>
        <color rgb="FF000000"/>
        <rFont val="Arial"/>
        <family val="2"/>
      </rPr>
      <t xml:space="preserve">:   </t>
    </r>
  </si>
  <si>
    <r>
      <t xml:space="preserve"> </t>
    </r>
    <r>
      <rPr>
        <i/>
        <sz val="9"/>
        <color rgb="FF000000"/>
        <rFont val="Arial"/>
        <family val="2"/>
      </rPr>
      <t xml:space="preserve">Faire un commentaire. </t>
    </r>
  </si>
  <si>
    <r>
      <t>TRANSFERTS DE CHARGES</t>
    </r>
    <r>
      <rPr>
        <b/>
        <sz val="9"/>
        <color rgb="FF000000"/>
        <rFont val="Arial"/>
        <family val="2"/>
      </rPr>
      <t xml:space="preserve"> </t>
    </r>
  </si>
  <si>
    <r>
      <t>détailler la nature des charges transférer</t>
    </r>
    <r>
      <rPr>
        <sz val="9"/>
        <color rgb="FF000000"/>
        <rFont val="Arial"/>
        <family val="2"/>
      </rPr>
      <t xml:space="preserve"> </t>
    </r>
  </si>
  <si>
    <r>
      <t xml:space="preserve">Transferts de charges financières : </t>
    </r>
    <r>
      <rPr>
        <i/>
        <sz val="9"/>
        <color rgb="FF000000"/>
        <rFont val="Arial"/>
        <family val="2"/>
      </rPr>
      <t>détailler la nature des charges transférer</t>
    </r>
    <r>
      <rPr>
        <sz val="9"/>
        <color rgb="FF000000"/>
        <rFont val="Arial"/>
        <family val="2"/>
      </rPr>
      <t xml:space="preserve"> </t>
    </r>
  </si>
  <si>
    <r>
      <t>Commentaire</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</si>
  <si>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Faire un commentaire </t>
    </r>
  </si>
  <si>
    <r>
      <t>NOTE</t>
    </r>
    <r>
      <rPr>
        <b/>
        <sz val="11"/>
        <color theme="1"/>
        <rFont val="Cambria"/>
        <family val="1"/>
      </rPr>
      <t xml:space="preserve"> 13 </t>
    </r>
  </si>
  <si>
    <t>CAPITAL</t>
  </si>
  <si>
    <t>Valeur nominale des actions ou parts :</t>
  </si>
  <si>
    <t>Nom et Prénoms</t>
  </si>
  <si>
    <t>Nationalité</t>
  </si>
  <si>
    <t>Nombre</t>
  </si>
  <si>
    <t>Montant total</t>
  </si>
  <si>
    <t xml:space="preserve">en cours </t>
  </si>
  <si>
    <t>d’exercice</t>
  </si>
  <si>
    <t>Apporteurs, capital non appelé</t>
  </si>
  <si>
    <t>TOTAL</t>
  </si>
  <si>
    <r>
      <t xml:space="preserve"> </t>
    </r>
    <r>
      <rPr>
        <sz val="9"/>
        <color rgb="FFFFFFFF"/>
        <rFont val="Arial"/>
        <family val="2"/>
      </rPr>
      <t xml:space="preserve">Libellés </t>
    </r>
  </si>
  <si>
    <r>
      <t xml:space="preserve">•      </t>
    </r>
    <r>
      <rPr>
        <i/>
        <sz val="9"/>
        <color rgb="FF000000"/>
        <rFont val="Arial"/>
        <family val="2"/>
      </rPr>
      <t xml:space="preserve">Indiquer les dates de l'AGE qui a décidé des primes d'apport, d'émission de fusion. </t>
    </r>
  </si>
  <si>
    <r>
      <t xml:space="preserve">•      </t>
    </r>
    <r>
      <rPr>
        <i/>
        <sz val="9"/>
        <color rgb="FF000000"/>
        <rFont val="Arial"/>
        <family val="2"/>
      </rPr>
      <t xml:space="preserve">Indiquer le détail des réserves libres. </t>
    </r>
  </si>
  <si>
    <r>
      <t xml:space="preserve">•      </t>
    </r>
    <r>
      <rPr>
        <i/>
        <sz val="9"/>
        <color rgb="FF000000"/>
        <rFont val="Arial"/>
        <family val="2"/>
      </rPr>
      <t xml:space="preserve">Indiquer le montant restant à doter et le taux de dotation de la réserve légale. </t>
    </r>
  </si>
  <si>
    <r>
      <t xml:space="preserve">•      </t>
    </r>
    <r>
      <rPr>
        <i/>
        <sz val="9"/>
        <color rgb="FF000000"/>
        <rFont val="Arial"/>
        <family val="2"/>
      </rPr>
      <t xml:space="preserve">Indiquer la date de l'AGO qui justifie la variation des réserves et du report à nouveau. </t>
    </r>
  </si>
  <si>
    <r>
      <t xml:space="preserve">  </t>
    </r>
    <r>
      <rPr>
        <b/>
        <u/>
        <sz val="11"/>
        <color rgb="FF002060"/>
        <rFont val="Arial"/>
        <family val="2"/>
      </rPr>
      <t>NOTE</t>
    </r>
    <r>
      <rPr>
        <b/>
        <sz val="11"/>
        <color rgb="FF002060"/>
        <rFont val="Arial"/>
        <family val="2"/>
      </rPr>
      <t xml:space="preserve"> 14 </t>
    </r>
  </si>
  <si>
    <t xml:space="preserve">*Justifier le caractère significatif du montant total de cette rubrique Commenter toute variation significative. </t>
  </si>
  <si>
    <t>HYPOTHESES ACTUARIELLES</t>
  </si>
  <si>
    <t xml:space="preserve">Taux d'augmentation des salaires </t>
  </si>
  <si>
    <t xml:space="preserve">Taux d'actualisation </t>
  </si>
  <si>
    <t xml:space="preserve">Taux d'inflation </t>
  </si>
  <si>
    <t xml:space="preserve">Probabilité d'être présent dans l'entité à la date de départ à la retraite (expérience passée) </t>
  </si>
  <si>
    <t xml:space="preserve">Probabilité d'être en vie à l'âge de départ à la retraite (table de mortalité) </t>
  </si>
  <si>
    <t xml:space="preserve">Taux de rendement effectif des actifs du régime </t>
  </si>
  <si>
    <t xml:space="preserve">Obligation au titre des engagements de retraite  à l'ouverture </t>
  </si>
  <si>
    <t xml:space="preserve">Coût des services rendus au cours de l'exercice </t>
  </si>
  <si>
    <t xml:space="preserve">Coût financier </t>
  </si>
  <si>
    <t xml:space="preserve">Pertes actuarielles / (gain) </t>
  </si>
  <si>
    <t xml:space="preserve">Prestations payées au cours de l'exercice </t>
  </si>
  <si>
    <t xml:space="preserve">Coût des services passés </t>
  </si>
  <si>
    <t xml:space="preserve">Obligation au titre des engagements de retraite à la clôture </t>
  </si>
  <si>
    <t xml:space="preserve">ANALYSE DE SENSIBILITE DES HYPOTHESES ACTUARIELLES </t>
  </si>
  <si>
    <t xml:space="preserve">Augmentation </t>
  </si>
  <si>
    <t xml:space="preserve">Diminution </t>
  </si>
  <si>
    <t xml:space="preserve">(variation de ...%) </t>
  </si>
  <si>
    <t xml:space="preserve">Taux de progression des salaires         (variation de ...%) </t>
  </si>
  <si>
    <t xml:space="preserve">Taux de départ du personnel                 (variation de ...%) </t>
  </si>
  <si>
    <t xml:space="preserve">ACTIF/PASSIF NET COMPTABILISE AU TITRE DES REGIMES FINANCES </t>
  </si>
  <si>
    <t xml:space="preserve">Valeur actuelle de l'obligation résultant de régimes financés </t>
  </si>
  <si>
    <t xml:space="preserve">Valeur actuelle des actifs affectés aux plans de retraite </t>
  </si>
  <si>
    <t xml:space="preserve">Excédent / Déficit de régime </t>
  </si>
  <si>
    <t xml:space="preserve">VALEUR ACTUELLE DES ACTIFS DU REGIME </t>
  </si>
  <si>
    <t xml:space="preserve">Rendement attendu </t>
  </si>
  <si>
    <t xml:space="preserve">Juste valeur des actifs </t>
  </si>
  <si>
    <t xml:space="preserve">Autres </t>
  </si>
  <si>
    <t xml:space="preserve">Total </t>
  </si>
  <si>
    <t xml:space="preserve">Actif éventuel </t>
  </si>
  <si>
    <t xml:space="preserve">Litiges </t>
  </si>
  <si>
    <t xml:space="preserve">............. </t>
  </si>
  <si>
    <t xml:space="preserve">Passif éventuel </t>
  </si>
  <si>
    <t xml:space="preserve"> Variation en % </t>
  </si>
  <si>
    <t xml:space="preserve">Dettes à un an au plus </t>
  </si>
  <si>
    <t xml:space="preserve">Dettes à plus d'un </t>
  </si>
  <si>
    <t xml:space="preserve">an et à deux ans au plus </t>
  </si>
  <si>
    <t xml:space="preserve">Dettes à plus de deux ans </t>
  </si>
  <si>
    <t xml:space="preserve">Fournisseurs, dettes et effets à payer groupe </t>
  </si>
  <si>
    <t xml:space="preserve">Fournisseurs factures non parvenues (hors groupe) </t>
  </si>
  <si>
    <t xml:space="preserve">Fournisseurs factures non parvenues groupe </t>
  </si>
  <si>
    <t xml:space="preserve">TOTAL FOURNISSEURS </t>
  </si>
  <si>
    <t xml:space="preserve">Fournisseurs, avances et acomptes  (hors groupe) </t>
  </si>
  <si>
    <t xml:space="preserve">Fournisseurs, avances et acomptes groupe </t>
  </si>
  <si>
    <t xml:space="preserve">Autres fournisseurs débiteurs </t>
  </si>
  <si>
    <t xml:space="preserve">TOTAL FOURNISSEURS DEBITEURS </t>
  </si>
  <si>
    <t xml:space="preserve">FOURNISSEURS D'EXPLOITATION </t>
  </si>
  <si>
    <t xml:space="preserve">AUTRES DETTES ET PROVISIONS POUR RISQUES A COURT TERME </t>
  </si>
  <si>
    <t xml:space="preserve">Apporteurs, opérations sur le capital </t>
  </si>
  <si>
    <t xml:space="preserve">Associés, compte courant </t>
  </si>
  <si>
    <t xml:space="preserve">Associés dividendes à payer </t>
  </si>
  <si>
    <t xml:space="preserve">Groupe, comptes courants </t>
  </si>
  <si>
    <t xml:space="preserve">Autres dettes associés </t>
  </si>
  <si>
    <t xml:space="preserve">TOTAL DETTES ASSOCIES </t>
  </si>
  <si>
    <t xml:space="preserve">Obligataires  </t>
  </si>
  <si>
    <t xml:space="preserve">Rémunérations d'administrateurs </t>
  </si>
  <si>
    <t xml:space="preserve">Versements restant à effectuer sur titres de placement non libérés </t>
  </si>
  <si>
    <t xml:space="preserve">Autres créditeurs divers </t>
  </si>
  <si>
    <t xml:space="preserve">TOTAL  CREDITEURS DIVERS </t>
  </si>
  <si>
    <t xml:space="preserve">TOTAL  COMPTES DE LIAISON </t>
  </si>
  <si>
    <t xml:space="preserve">TOTAL  AUTRES DETTES </t>
  </si>
  <si>
    <t xml:space="preserve">Provisions pour risques à court terme (voir note 28) </t>
  </si>
  <si>
    <t>BANQUES, CREDIT D'ESCOMPTE ET DE TRESORERIE</t>
  </si>
  <si>
    <t xml:space="preserve">Escomptes de crédit de campagne </t>
  </si>
  <si>
    <t xml:space="preserve">Escomptes de crédit ordinaires </t>
  </si>
  <si>
    <t xml:space="preserve">TOTAL: BANQUES, CREDITS </t>
  </si>
  <si>
    <t xml:space="preserve">D'ESCOMPTE ET DE TRESORERIE </t>
  </si>
  <si>
    <t xml:space="preserve">Crédit de trésorerie </t>
  </si>
  <si>
    <t xml:space="preserve">TOTAL: BANQUES, CREDITS DE TRESORERIE </t>
  </si>
  <si>
    <t xml:space="preserve">NB : Banques et intérêts courus figure dans cette rubrique si le compte principal attaché est créditeur. </t>
  </si>
  <si>
    <t xml:space="preserve">CHIFFRE D’AFFAIRES et AUTRES PRODUITS </t>
  </si>
  <si>
    <t xml:space="preserve">Ventes dans la région </t>
  </si>
  <si>
    <t xml:space="preserve">Ventes hors région </t>
  </si>
  <si>
    <t xml:space="preserve">Ventes groupe </t>
  </si>
  <si>
    <t xml:space="preserve">Ventes sur internet </t>
  </si>
  <si>
    <t xml:space="preserve">TOTAL : VENTES MARCHANDISES </t>
  </si>
  <si>
    <t xml:space="preserve">TOTAL : VENTES DE PRODUITS FABRIQUES </t>
  </si>
  <si>
    <t xml:space="preserve">TOTAL : VENTES DE TRAVAUX ET SERVICES VENDUS </t>
  </si>
  <si>
    <t xml:space="preserve">Produits accessoires </t>
  </si>
  <si>
    <t xml:space="preserve">TOTAL : CHIFFRES D'AFFAIRES </t>
  </si>
  <si>
    <t xml:space="preserve">Production immobilisée </t>
  </si>
  <si>
    <t xml:space="preserve">Subventions d'exploitation </t>
  </si>
  <si>
    <t xml:space="preserve">Autres produits </t>
  </si>
  <si>
    <t xml:space="preserve">TOTAL : AUTRES PRODUITS </t>
  </si>
  <si>
    <t xml:space="preserve">TOTAL </t>
  </si>
  <si>
    <t>ACHATS</t>
  </si>
  <si>
    <t xml:space="preserve">Achats dans la région </t>
  </si>
  <si>
    <t xml:space="preserve">Achats hors région </t>
  </si>
  <si>
    <t xml:space="preserve">Achats groupe </t>
  </si>
  <si>
    <t xml:space="preserve">TOTAL : ACHATS DE MARCHANDISES </t>
  </si>
  <si>
    <t xml:space="preserve">TOTAL : ACHATS MATIERES PREMIERES ET FOURNITURES LIEES </t>
  </si>
  <si>
    <t xml:space="preserve">Matières consommables  </t>
  </si>
  <si>
    <t xml:space="preserve">Matières combustibles </t>
  </si>
  <si>
    <t xml:space="preserve">Produits d'entretien </t>
  </si>
  <si>
    <t xml:space="preserve">Fournitures d'atelier, d'usine et de magasin  </t>
  </si>
  <si>
    <t xml:space="preserve">Eau </t>
  </si>
  <si>
    <t xml:space="preserve">Electricité </t>
  </si>
  <si>
    <t xml:space="preserve">Autres énergies </t>
  </si>
  <si>
    <t xml:space="preserve">Fourniture d'entretien </t>
  </si>
  <si>
    <t xml:space="preserve">Fourniture de bureau </t>
  </si>
  <si>
    <t xml:space="preserve">Petit matériel et outillages </t>
  </si>
  <si>
    <t xml:space="preserve">Achats études, prestations de services, de travaux matériels et équipements </t>
  </si>
  <si>
    <t xml:space="preserve">Achats d'emballages </t>
  </si>
  <si>
    <t xml:space="preserve">Frais sur achats </t>
  </si>
  <si>
    <t xml:space="preserve">Remises rabais, remises et ristournes  </t>
  </si>
  <si>
    <t xml:space="preserve">TOTAL : AUTRES ACHATS </t>
  </si>
  <si>
    <t>TRANSPORTS</t>
  </si>
  <si>
    <t xml:space="preserve">Transports sur ventes </t>
  </si>
  <si>
    <t xml:space="preserve">Transports pour le compte de tiers </t>
  </si>
  <si>
    <t xml:space="preserve">Transport du personnel </t>
  </si>
  <si>
    <t xml:space="preserve">Transports de plis </t>
  </si>
  <si>
    <t xml:space="preserve">Autres transports </t>
  </si>
  <si>
    <t xml:space="preserve">SERVICES EXTERIEURS  </t>
  </si>
  <si>
    <t xml:space="preserve">Sous-traitance générale </t>
  </si>
  <si>
    <t xml:space="preserve">Locations et charges locatives </t>
  </si>
  <si>
    <t xml:space="preserve">Redevances de location acquisition </t>
  </si>
  <si>
    <t xml:space="preserve">Entretien, réparations et maintenance </t>
  </si>
  <si>
    <t xml:space="preserve">Primes d'assurance </t>
  </si>
  <si>
    <t xml:space="preserve">Etudes, recherches et documentation </t>
  </si>
  <si>
    <t xml:space="preserve">Publicité, publications, relations publiques </t>
  </si>
  <si>
    <t xml:space="preserve">Frais de télécommunications </t>
  </si>
  <si>
    <t xml:space="preserve">Frais bancaires </t>
  </si>
  <si>
    <t xml:space="preserve">Rémunérations d'intermédiaires et de conseils </t>
  </si>
  <si>
    <t xml:space="preserve">Frais de formation du personnel </t>
  </si>
  <si>
    <t xml:space="preserve">Redevances pour brevets, licences, logiciels, concession et droits similaires </t>
  </si>
  <si>
    <t xml:space="preserve">Cotisations </t>
  </si>
  <si>
    <t xml:space="preserve">Autres charges externes </t>
  </si>
  <si>
    <r>
      <t xml:space="preserve"> </t>
    </r>
    <r>
      <rPr>
        <b/>
        <u/>
        <sz val="12"/>
        <color rgb="FF002060"/>
        <rFont val="Times New Roman"/>
        <family val="1"/>
      </rPr>
      <t>NOTE</t>
    </r>
    <r>
      <rPr>
        <b/>
        <sz val="12"/>
        <color rgb="FF002060"/>
        <rFont val="Times New Roman"/>
        <family val="1"/>
      </rPr>
      <t xml:space="preserve"> 25</t>
    </r>
  </si>
  <si>
    <t xml:space="preserve">IMPOTS ET TAXES  </t>
  </si>
  <si>
    <t xml:space="preserve">Impôts et taxes directs </t>
  </si>
  <si>
    <t xml:space="preserve">Impôts et taxes indirects </t>
  </si>
  <si>
    <t xml:space="preserve">Droits d'enregistrement </t>
  </si>
  <si>
    <t xml:space="preserve">Pénalités et amendes fiscales </t>
  </si>
  <si>
    <t xml:space="preserve">Autres impôts et taxes </t>
  </si>
  <si>
    <t xml:space="preserve">AUTRES CHARGES  </t>
  </si>
  <si>
    <t xml:space="preserve">Pertes sur créances clients  </t>
  </si>
  <si>
    <t xml:space="preserve">Pertes sur autres débiteurs </t>
  </si>
  <si>
    <t xml:space="preserve">Quote-part de résultat sur opérations faites en commun </t>
  </si>
  <si>
    <t xml:space="preserve">Valeur comptable des cessions courantes d'immobilisations </t>
  </si>
  <si>
    <t xml:space="preserve">Indemnités de fonction et autres rémunérations d'administrateurs </t>
  </si>
  <si>
    <t xml:space="preserve">Dons et mécénat </t>
  </si>
  <si>
    <t xml:space="preserve">Autres charges diverses </t>
  </si>
  <si>
    <t xml:space="preserve">Charges pour provisions et provisions pour risques à court terme d'exploitation (voir note 28) </t>
  </si>
  <si>
    <t xml:space="preserve">Rémunérations directes versées au personnel </t>
  </si>
  <si>
    <t xml:space="preserve">Indemnités forfaitaires versées au personnel </t>
  </si>
  <si>
    <t xml:space="preserve">Charges sociales </t>
  </si>
  <si>
    <t xml:space="preserve">Rémunérations et charges sociales de l'exploitant individuel </t>
  </si>
  <si>
    <t xml:space="preserve">Rémunération transférée de personnel extérieur </t>
  </si>
  <si>
    <t xml:space="preserve">Autres charges sociales </t>
  </si>
  <si>
    <t>Libellés</t>
  </si>
  <si>
    <t>Variation en valeur absolue</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</si>
  <si>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</si>
  <si>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</si>
  <si>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</si>
  <si>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</si>
  <si>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</si>
  <si>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</si>
  <si>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</si>
  <si>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</si>
  <si>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 xml:space="preserve">Intérêt courus </t>
  </si>
  <si>
    <t>Avances assorties de conditions particulières</t>
  </si>
  <si>
    <t>Autres emprunts et dettes</t>
  </si>
  <si>
    <t>Dettes liées à des participations</t>
  </si>
  <si>
    <t>Comptes permanents bloqués des établissements et succursales</t>
  </si>
  <si>
    <t>TOTAL EMPRUNTS ET DETTES FINANCIERES</t>
  </si>
  <si>
    <t>Crédit-bail immobilier</t>
  </si>
  <si>
    <t>Crédit-bail mobilier</t>
  </si>
  <si>
    <t>Location-vente</t>
  </si>
  <si>
    <t>Intérêts courus</t>
  </si>
  <si>
    <t>Autres dettes de location acquisition</t>
  </si>
  <si>
    <t xml:space="preserve">TOTAL DETTES DE LOCATION ACQUISITION </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</si>
  <si>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</si>
  <si>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</si>
  <si>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</si>
  <si>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</si>
  <si>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</si>
  <si>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</si>
  <si>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</si>
  <si>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 xml:space="preserve">Provisions pour restructuration </t>
  </si>
  <si>
    <t>Provisions pour amendes et pénalités</t>
  </si>
  <si>
    <t>Provisions de propre assureur</t>
  </si>
  <si>
    <t>Provisions pour démantèlement et remise en état</t>
  </si>
  <si>
    <t>Provisions de droits à déduction</t>
  </si>
  <si>
    <t>Autres provisions</t>
  </si>
  <si>
    <t>TOTAL PROVISIONS POUR RISQUES ET CHARGES</t>
  </si>
  <si>
    <r>
      <t>NOTE</t>
    </r>
    <r>
      <rPr>
        <b/>
        <sz val="9"/>
        <color theme="1"/>
        <rFont val="Cambria"/>
        <family val="1"/>
      </rPr>
      <t xml:space="preserve"> 16A</t>
    </r>
  </si>
  <si>
    <r>
      <t>•</t>
    </r>
    <r>
      <rPr>
        <sz val="9"/>
        <color rgb="FF000000"/>
        <rFont val="Times New Roman"/>
        <family val="1"/>
      </rPr>
      <t xml:space="preserve">       </t>
    </r>
    <r>
      <rPr>
        <i/>
        <sz val="9"/>
        <color rgb="FF000000"/>
        <rFont val="Arial"/>
        <family val="2"/>
      </rPr>
      <t xml:space="preserve">Commenter les variations d'hypothèses actuarielles utilisées pour le calcul des engagements de retraite et avantages assimilés. </t>
    </r>
  </si>
  <si>
    <r>
      <t xml:space="preserve">VARIATION DE LA VALEUR DE L'ENGAGEMENT DE RETRAITE </t>
    </r>
    <r>
      <rPr>
        <sz val="9"/>
        <color rgb="FF000000"/>
        <rFont val="Arial"/>
        <family val="2"/>
      </rPr>
      <t xml:space="preserve"> </t>
    </r>
    <r>
      <rPr>
        <b/>
        <sz val="9"/>
        <color rgb="FFFFFFFF"/>
        <rFont val="Arial"/>
        <family val="2"/>
      </rPr>
      <t xml:space="preserve">AU COURS DE L'EXERCICE </t>
    </r>
  </si>
  <si>
    <r>
      <t>Libellés</t>
    </r>
    <r>
      <rPr>
        <b/>
        <sz val="9"/>
        <color rgb="FF000000"/>
        <rFont val="Arial"/>
        <family val="2"/>
      </rPr>
      <t xml:space="preserve"> </t>
    </r>
  </si>
  <si>
    <r>
      <t>•</t>
    </r>
    <r>
      <rPr>
        <sz val="9"/>
        <color rgb="FF000000"/>
        <rFont val="Times New Roman"/>
        <family val="1"/>
      </rPr>
      <t xml:space="preserve">       </t>
    </r>
    <r>
      <rPr>
        <i/>
        <sz val="9"/>
        <color rgb="FF000000"/>
        <rFont val="Arial"/>
        <family val="2"/>
      </rPr>
      <t xml:space="preserve">Indiquer le montant de la charge par nature comptabilisée au cours de l'exercice </t>
    </r>
    <r>
      <rPr>
        <sz val="9"/>
        <color rgb="FF000000"/>
        <rFont val="Arial"/>
        <family val="2"/>
      </rPr>
      <t xml:space="preserve"> </t>
    </r>
  </si>
  <si>
    <r>
      <t>•</t>
    </r>
    <r>
      <rPr>
        <sz val="9"/>
        <color rgb="FF000000"/>
        <rFont val="Times New Roman"/>
        <family val="1"/>
      </rPr>
      <t xml:space="preserve">       </t>
    </r>
    <r>
      <rPr>
        <i/>
        <sz val="9"/>
        <color rgb="FF000000"/>
        <rFont val="Arial"/>
        <family val="2"/>
      </rPr>
      <t>Indiquer l’impact des variations obtenues sur le montant des engagements de retraite.</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</si>
  <si>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clôture et leur base de détermination. </t>
    </r>
  </si>
  <si>
    <r>
      <t xml:space="preserve"> </t>
    </r>
    <r>
      <rPr>
        <b/>
        <u/>
        <sz val="11"/>
        <color rgb="FF002060"/>
        <rFont val="Times New Roman"/>
        <family val="1"/>
      </rPr>
      <t>NOTE</t>
    </r>
    <r>
      <rPr>
        <b/>
        <sz val="11"/>
        <color rgb="FF002060"/>
        <rFont val="Times New Roman"/>
        <family val="1"/>
      </rPr>
      <t xml:space="preserve"> 16B </t>
    </r>
  </si>
  <si>
    <r>
      <t>ENGAGEMENTS DE RETRAITE ET AVANTAGES ASSIMILES</t>
    </r>
    <r>
      <rPr>
        <b/>
        <sz val="11"/>
        <color rgb="FF0D0D0D"/>
        <rFont val="Times New Roman"/>
        <family val="1"/>
      </rPr>
      <t xml:space="preserve"> </t>
    </r>
  </si>
  <si>
    <r>
      <t>ENGAGEMENTS DE RETRAITE ET AVANTAGES ASSIMILES</t>
    </r>
    <r>
      <rPr>
        <b/>
        <sz val="9"/>
        <color rgb="FF0D0D0D"/>
        <rFont val="Times New Roman"/>
        <family val="1"/>
      </rPr>
      <t xml:space="preserve"> </t>
    </r>
    <r>
      <rPr>
        <sz val="9"/>
        <color rgb="FF548DD4"/>
        <rFont val="Times New Roman"/>
        <family val="1"/>
      </rPr>
      <t xml:space="preserve"> </t>
    </r>
  </si>
  <si>
    <r>
      <t>•</t>
    </r>
    <r>
      <rPr>
        <sz val="9"/>
        <color rgb="FF000000"/>
        <rFont val="Times New Roman"/>
        <family val="1"/>
      </rPr>
      <t xml:space="preserve">       </t>
    </r>
    <r>
      <rPr>
        <i/>
        <sz val="9"/>
        <color rgb="FF000000"/>
        <rFont val="Arial"/>
        <family val="2"/>
      </rPr>
      <t>Indiquer le montant comptabilisé au passif (ou actif) à la clôture de l'exercice</t>
    </r>
  </si>
  <si>
    <r>
      <t>•</t>
    </r>
    <r>
      <rPr>
        <sz val="9"/>
        <color rgb="FF000000"/>
        <rFont val="Times New Roman"/>
        <family val="1"/>
      </rPr>
      <t xml:space="preserve">       </t>
    </r>
    <r>
      <rPr>
        <i/>
        <sz val="9"/>
        <color rgb="FF000000"/>
        <rFont val="Arial"/>
        <family val="2"/>
      </rPr>
      <t>Indiquer….</t>
    </r>
  </si>
  <si>
    <r>
      <t xml:space="preserve"> </t>
    </r>
    <r>
      <rPr>
        <b/>
        <u/>
        <sz val="9"/>
        <color rgb="FF002060"/>
        <rFont val="Times New Roman"/>
        <family val="1"/>
      </rPr>
      <t>NOTE</t>
    </r>
    <r>
      <rPr>
        <b/>
        <sz val="9"/>
        <color rgb="FF002060"/>
        <rFont val="Times New Roman"/>
        <family val="1"/>
      </rPr>
      <t xml:space="preserve"> 16B bis</t>
    </r>
  </si>
  <si>
    <t xml:space="preserve">•    Indiquer le montant des rendements réels des actifs affectés aux plans en N et N-1 </t>
  </si>
  <si>
    <r>
      <t>•</t>
    </r>
    <r>
      <rPr>
        <sz val="9"/>
        <color rgb="FF000000"/>
        <rFont val="Times New Roman"/>
        <family val="1"/>
      </rPr>
      <t xml:space="preserve">       </t>
    </r>
    <r>
      <rPr>
        <i/>
        <sz val="9"/>
        <color rgb="FF000000"/>
        <rFont val="Arial"/>
        <family val="2"/>
      </rPr>
      <t xml:space="preserve">Expliquer comment les taux de rendement par catégorie d’actifs et global ont été déterminés </t>
    </r>
  </si>
  <si>
    <r>
      <t xml:space="preserve">•      </t>
    </r>
    <r>
      <rPr>
        <i/>
        <sz val="9"/>
        <color rgb="FF000000"/>
        <rFont val="Arial"/>
        <family val="2"/>
      </rPr>
      <t xml:space="preserve">Décrire les principales caractéristiques des actifs / passifs éventuels, l’horizon de temps auquel les encaissements / décaissements sont attendus et les éventuels remboursements à percevoir. </t>
    </r>
  </si>
  <si>
    <r>
      <t>NOTE</t>
    </r>
    <r>
      <rPr>
        <b/>
        <sz val="11"/>
        <color rgb="FF002060"/>
        <rFont val="Arial"/>
        <family val="2"/>
      </rPr>
      <t xml:space="preserve"> 16C </t>
    </r>
  </si>
  <si>
    <r>
      <t>ACTIFS ET PASSIFS EVENTUELS</t>
    </r>
    <r>
      <rPr>
        <b/>
        <sz val="11"/>
        <color rgb="FF0D0D0D"/>
        <rFont val="Arial"/>
        <family val="2"/>
      </rPr>
      <t xml:space="preserve"> </t>
    </r>
  </si>
  <si>
    <r>
      <t xml:space="preserve"> </t>
    </r>
    <r>
      <rPr>
        <b/>
        <u/>
        <sz val="9"/>
        <color rgb="FF002060"/>
        <rFont val="Arial"/>
        <family val="2"/>
      </rPr>
      <t>NOTE</t>
    </r>
    <r>
      <rPr>
        <b/>
        <sz val="9"/>
        <color rgb="FF002060"/>
        <rFont val="Arial"/>
        <family val="2"/>
      </rPr>
      <t xml:space="preserve"> 17</t>
    </r>
  </si>
  <si>
    <r>
      <t xml:space="preserve"> </t>
    </r>
    <r>
      <rPr>
        <b/>
        <u/>
        <sz val="11"/>
        <color rgb="FF002060"/>
        <rFont val="Arial"/>
        <family val="2"/>
      </rPr>
      <t>NOTE</t>
    </r>
    <r>
      <rPr>
        <b/>
        <sz val="11"/>
        <color rgb="FF002060"/>
        <rFont val="Arial"/>
        <family val="2"/>
      </rPr>
      <t xml:space="preserve"> 19</t>
    </r>
  </si>
  <si>
    <r>
      <t>Commentaire</t>
    </r>
    <r>
      <rPr>
        <sz val="9"/>
        <color rgb="FF000000"/>
        <rFont val="Arial"/>
        <family val="2"/>
      </rPr>
      <t xml:space="preserve">s :  </t>
    </r>
  </si>
  <si>
    <r>
      <t>•</t>
    </r>
    <r>
      <rPr>
        <sz val="9"/>
        <color rgb="FF000000"/>
        <rFont val="Times New Roman"/>
        <family val="1"/>
      </rPr>
      <t xml:space="preserve">      </t>
    </r>
    <r>
      <rPr>
        <i/>
        <sz val="9"/>
        <color rgb="FF000000"/>
        <rFont val="Arial"/>
        <family val="2"/>
      </rPr>
      <t xml:space="preserve">Commenter toute variation significative. </t>
    </r>
  </si>
  <si>
    <r>
      <t xml:space="preserve">•      </t>
    </r>
    <r>
      <rPr>
        <i/>
        <sz val="9"/>
        <color rgb="FF000000"/>
        <rFont val="Arial"/>
        <family val="2"/>
      </rPr>
      <t xml:space="preserve">Commenter toute variation significative. </t>
    </r>
  </si>
  <si>
    <r>
      <t xml:space="preserve">•      </t>
    </r>
    <r>
      <rPr>
        <i/>
        <sz val="9"/>
        <color rgb="FF000000"/>
        <rFont val="Arial"/>
        <family val="2"/>
      </rPr>
      <t xml:space="preserve">Indiquer le taux de rémunération si compte courant rémunéré. </t>
    </r>
  </si>
  <si>
    <r>
      <t xml:space="preserve">•      </t>
    </r>
    <r>
      <rPr>
        <i/>
        <sz val="9"/>
        <color rgb="FF000000"/>
        <rFont val="Arial"/>
        <family val="2"/>
      </rPr>
      <t xml:space="preserve">Commenter les dettes anciennes. </t>
    </r>
  </si>
  <si>
    <r>
      <t xml:space="preserve"> </t>
    </r>
    <r>
      <rPr>
        <b/>
        <u/>
        <sz val="9"/>
        <color rgb="FF002060"/>
        <rFont val="Times New Roman"/>
        <family val="1"/>
      </rPr>
      <t>NOTE</t>
    </r>
    <r>
      <rPr>
        <b/>
        <sz val="9"/>
        <color rgb="FF002060"/>
        <rFont val="Times New Roman"/>
        <family val="1"/>
      </rPr>
      <t xml:space="preserve"> 20 </t>
    </r>
  </si>
  <si>
    <r>
      <t>•</t>
    </r>
    <r>
      <rPr>
        <sz val="9"/>
        <color rgb="FF000000"/>
        <rFont val="Times New Roman"/>
        <family val="1"/>
      </rPr>
      <t xml:space="preserve">      </t>
    </r>
    <r>
      <rPr>
        <i/>
        <sz val="9"/>
        <color rgb="FF000000"/>
        <rFont val="Arial"/>
        <family val="2"/>
      </rPr>
      <t xml:space="preserve">Indiquer le nom de l'organisme les conditions de crédit, le taux d'intérêt, la durée  du crédit. </t>
    </r>
  </si>
  <si>
    <r>
      <t xml:space="preserve"> Commentaires</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</si>
  <si>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Détailler, produits, intermédiaires, produits résiduels, produits accessoires, autres produits si significatifs. </t>
    </r>
  </si>
  <si>
    <r>
      <t>NOTE</t>
    </r>
    <r>
      <rPr>
        <b/>
        <sz val="11"/>
        <color rgb="FF002060"/>
        <rFont val="Times New Roman"/>
        <family val="1"/>
      </rPr>
      <t xml:space="preserve"> 21</t>
    </r>
  </si>
  <si>
    <r>
      <t xml:space="preserve"> </t>
    </r>
    <r>
      <rPr>
        <b/>
        <u/>
        <sz val="9"/>
        <color rgb="FF002060"/>
        <rFont val="Times New Roman"/>
        <family val="1"/>
      </rPr>
      <t>NOTE</t>
    </r>
    <r>
      <rPr>
        <b/>
        <sz val="9"/>
        <color rgb="FF002060"/>
        <rFont val="Times New Roman"/>
        <family val="1"/>
      </rPr>
      <t xml:space="preserve"> 22 </t>
    </r>
  </si>
  <si>
    <r>
      <t xml:space="preserve"> </t>
    </r>
    <r>
      <rPr>
        <i/>
        <sz val="9"/>
        <color rgb="FF000000"/>
        <rFont val="Arial"/>
        <family val="2"/>
      </rPr>
      <t xml:space="preserve">Commenter toute variation significative. </t>
    </r>
  </si>
  <si>
    <r>
      <t xml:space="preserve"> </t>
    </r>
    <r>
      <rPr>
        <b/>
        <u/>
        <sz val="11"/>
        <color rgb="FF002060"/>
        <rFont val="Times New Roman"/>
        <family val="1"/>
      </rPr>
      <t>NOTE</t>
    </r>
    <r>
      <rPr>
        <b/>
        <sz val="11"/>
        <color rgb="FF002060"/>
        <rFont val="Times New Roman"/>
        <family val="1"/>
      </rPr>
      <t xml:space="preserve"> 23 </t>
    </r>
  </si>
  <si>
    <r>
      <t xml:space="preserve"> </t>
    </r>
    <r>
      <rPr>
        <b/>
        <u/>
        <sz val="11"/>
        <color rgb="FF002060"/>
        <rFont val="Times New Roman"/>
        <family val="1"/>
      </rPr>
      <t>NOTE</t>
    </r>
    <r>
      <rPr>
        <b/>
        <sz val="11"/>
        <color rgb="FF002060"/>
        <rFont val="Times New Roman"/>
        <family val="1"/>
      </rPr>
      <t xml:space="preserve"> 24 </t>
    </r>
  </si>
  <si>
    <r>
      <t>TOTAL</t>
    </r>
    <r>
      <rPr>
        <b/>
        <sz val="9"/>
        <color rgb="FFFFFFFF"/>
        <rFont val="Arial"/>
        <family val="2"/>
      </rPr>
      <t xml:space="preserve"> </t>
    </r>
  </si>
  <si>
    <r>
      <t>•</t>
    </r>
    <r>
      <rPr>
        <sz val="9"/>
        <color rgb="FF000000"/>
        <rFont val="Times New Roman"/>
        <family val="1"/>
      </rPr>
      <t xml:space="preserve">      </t>
    </r>
    <r>
      <rPr>
        <i/>
        <sz val="9"/>
        <color rgb="FF000000"/>
        <rFont val="Arial"/>
        <family val="2"/>
      </rPr>
      <t>Détailler les pénalités et amendes et indiquer la cause</t>
    </r>
    <r>
      <rPr>
        <i/>
        <sz val="9"/>
        <color rgb="FF000000"/>
        <rFont val="Times New Roman"/>
        <family val="1"/>
      </rPr>
      <t>.</t>
    </r>
    <r>
      <rPr>
        <sz val="9"/>
        <color rgb="FF000000"/>
        <rFont val="Calibri"/>
        <family val="2"/>
        <scheme val="minor"/>
      </rPr>
      <t xml:space="preserve"> </t>
    </r>
  </si>
  <si>
    <r>
      <t>•</t>
    </r>
    <r>
      <rPr>
        <sz val="9"/>
        <color rgb="FF000000"/>
        <rFont val="Times New Roman"/>
        <family val="1"/>
      </rPr>
      <t xml:space="preserve">      </t>
    </r>
    <r>
      <rPr>
        <i/>
        <sz val="9"/>
        <color rgb="FF000000"/>
        <rFont val="Arial"/>
        <family val="2"/>
      </rPr>
      <t xml:space="preserve">Indiquer la date du PV de l'AGO ou du CA qui fixe les rémunérations des administrateurs. </t>
    </r>
  </si>
  <si>
    <r>
      <t>•</t>
    </r>
    <r>
      <rPr>
        <sz val="9"/>
        <color rgb="FF000000"/>
        <rFont val="Times New Roman"/>
        <family val="1"/>
      </rPr>
      <t xml:space="preserve">      </t>
    </r>
    <r>
      <rPr>
        <i/>
        <sz val="9"/>
        <color rgb="FF000000"/>
        <rFont val="Arial"/>
        <family val="2"/>
      </rPr>
      <t>Indiquer les organismes bénéficiaires des dons.</t>
    </r>
    <r>
      <rPr>
        <i/>
        <sz val="9"/>
        <color rgb="FF000000"/>
        <rFont val="Times New Roman"/>
        <family val="1"/>
      </rPr>
      <t xml:space="preserve"> </t>
    </r>
  </si>
  <si>
    <r>
      <t xml:space="preserve"> </t>
    </r>
    <r>
      <rPr>
        <sz val="11"/>
        <color rgb="FF000000"/>
        <rFont val="Calibri"/>
        <family val="2"/>
        <scheme val="minor"/>
      </rPr>
      <t xml:space="preserve"> </t>
    </r>
    <r>
      <rPr>
        <b/>
        <u/>
        <sz val="11"/>
        <color rgb="FF002060"/>
        <rFont val="Times New Roman"/>
        <family val="1"/>
      </rPr>
      <t>NOTE</t>
    </r>
    <r>
      <rPr>
        <b/>
        <sz val="11"/>
        <color rgb="FF002060"/>
        <rFont val="Times New Roman"/>
        <family val="1"/>
      </rPr>
      <t xml:space="preserve"> 26 </t>
    </r>
  </si>
  <si>
    <r>
      <t xml:space="preserve">•      </t>
    </r>
    <r>
      <rPr>
        <i/>
        <sz val="9"/>
        <color rgb="FF000000"/>
        <rFont val="Arial"/>
        <family val="2"/>
      </rPr>
      <t>Indiquer la nature et la durée du contrat du personnel extérieur.</t>
    </r>
    <r>
      <rPr>
        <sz val="9"/>
        <color rgb="FF000000"/>
        <rFont val="Arial"/>
        <family val="2"/>
      </rPr>
      <t xml:space="preserve"> </t>
    </r>
  </si>
  <si>
    <r>
      <t xml:space="preserve"> </t>
    </r>
    <r>
      <rPr>
        <b/>
        <u/>
        <sz val="11"/>
        <color rgb="FF002060"/>
        <rFont val="Arial"/>
        <family val="2"/>
      </rPr>
      <t>NOTE</t>
    </r>
    <r>
      <rPr>
        <b/>
        <sz val="11"/>
        <color rgb="FF002060"/>
        <rFont val="Arial"/>
        <family val="2"/>
      </rPr>
      <t xml:space="preserve"> 27A </t>
    </r>
  </si>
  <si>
    <r>
      <t xml:space="preserve">CHARGES DE PERSONNEL </t>
    </r>
    <r>
      <rPr>
        <sz val="11"/>
        <color rgb="FF548DD4"/>
        <rFont val="Arial"/>
        <family val="2"/>
      </rPr>
      <t xml:space="preserve"> </t>
    </r>
  </si>
  <si>
    <t xml:space="preserve">CHARGES ET REVENUS FINANCIERS </t>
  </si>
  <si>
    <t xml:space="preserve">Intérêts des emprunts </t>
  </si>
  <si>
    <t xml:space="preserve">Intérêts dans loyers de locations acquisition </t>
  </si>
  <si>
    <t xml:space="preserve">Escomptes accordés </t>
  </si>
  <si>
    <t xml:space="preserve">Autres intérêts </t>
  </si>
  <si>
    <t xml:space="preserve">Escomptes des effets de commerce </t>
  </si>
  <si>
    <t xml:space="preserve">Pertes de change </t>
  </si>
  <si>
    <t xml:space="preserve">Pertes sur cessions de titres de placement </t>
  </si>
  <si>
    <t xml:space="preserve">Malis provenant d’attribution gratuite d’actions au personnel salarié et aux dirigeants </t>
  </si>
  <si>
    <t xml:space="preserve">Pertes sur risques financiers </t>
  </si>
  <si>
    <t xml:space="preserve">Charges pour dépréciation et provisions à court terme à caractère financier (voir note 28) </t>
  </si>
  <si>
    <t xml:space="preserve">SOUS TOTAL : FRAIS FINANCIERS </t>
  </si>
  <si>
    <t xml:space="preserve">Intérêts de prêts et créances diverses </t>
  </si>
  <si>
    <t xml:space="preserve">Revenus de participations </t>
  </si>
  <si>
    <t xml:space="preserve">Escomptes obtenus </t>
  </si>
  <si>
    <t xml:space="preserve">Revenus de placement </t>
  </si>
  <si>
    <t xml:space="preserve">Gains de change </t>
  </si>
  <si>
    <t xml:space="preserve">Gains sur cessions de titres de placement </t>
  </si>
  <si>
    <t xml:space="preserve">Gains sur risques financiers </t>
  </si>
  <si>
    <t xml:space="preserve">Reprises de charges pour dépréciation et provisions à court terme à caractère financier (voir note 28) </t>
  </si>
  <si>
    <t xml:space="preserve">SOUS TOTAL : REVENUS FINANCIERS </t>
  </si>
  <si>
    <t xml:space="preserve">Pertes sur créances HAO </t>
  </si>
  <si>
    <t xml:space="preserve">Dons et libéralités accordés </t>
  </si>
  <si>
    <t xml:space="preserve">Abandons de créances consentis </t>
  </si>
  <si>
    <t xml:space="preserve">Charges provisionnées HAO </t>
  </si>
  <si>
    <t xml:space="preserve">Dotations hors activités ordinaires </t>
  </si>
  <si>
    <t xml:space="preserve">Participation des travailleurs </t>
  </si>
  <si>
    <t xml:space="preserve">Subventions d'équilibre </t>
  </si>
  <si>
    <t xml:space="preserve">SOUS TOTAL : AUTRES CHARGES HAO </t>
  </si>
  <si>
    <t xml:space="preserve">Dons et libéralités obtenus </t>
  </si>
  <si>
    <t xml:space="preserve">Abandons de créances obtenus </t>
  </si>
  <si>
    <t xml:space="preserve">Transferts de charges HAO </t>
  </si>
  <si>
    <t xml:space="preserve">Reprises des charges pour dépréciations et provisions à court terme HAO  </t>
  </si>
  <si>
    <t xml:space="preserve">Reprises hors activités ordinaires </t>
  </si>
  <si>
    <t xml:space="preserve">SOUS TOTAL : AUTRES PRODUITS HAO </t>
  </si>
  <si>
    <t xml:space="preserve">NOTE 34 : FICHE DE SYNTHESE DES PRINCIPAUX INDICATEURS FINANCIERS </t>
  </si>
  <si>
    <r>
      <t>NOTE</t>
    </r>
    <r>
      <rPr>
        <b/>
        <sz val="11"/>
        <color rgb="FF002060"/>
        <rFont val="Times New Roman"/>
        <family val="1"/>
      </rPr>
      <t xml:space="preserve"> 34</t>
    </r>
  </si>
  <si>
    <t>SYNTHESE DES PRINCIPAUX INDICATEURS FINANCIERS</t>
  </si>
  <si>
    <t xml:space="preserve">   ( EN  MILLIERS DE FRANCS)              </t>
  </si>
  <si>
    <r>
      <t xml:space="preserve">ANALYSE DE L'ACTIVITE </t>
    </r>
    <r>
      <rPr>
        <b/>
        <sz val="8"/>
        <color rgb="FFFFFFFF"/>
        <rFont val="Arial"/>
        <family val="2"/>
      </rPr>
      <t xml:space="preserve"> </t>
    </r>
  </si>
  <si>
    <t xml:space="preserve">SOLDES INTERMEDIAIRES DE GESTION </t>
  </si>
  <si>
    <t xml:space="preserve">CHIFFRE D'AFFAIRES </t>
  </si>
  <si>
    <t xml:space="preserve">MARGE COMMERCIALE </t>
  </si>
  <si>
    <t xml:space="preserve">VALEUR AJOUTEE </t>
  </si>
  <si>
    <t xml:space="preserve">EXCEDENT BRUT D'EXPLOITATION (EBE) </t>
  </si>
  <si>
    <t xml:space="preserve">RESULTAT D'EXPLOITATION </t>
  </si>
  <si>
    <t xml:space="preserve">RESULTAT FINANCIER </t>
  </si>
  <si>
    <t xml:space="preserve">RESULTAT DES ACTIVITES ORDINAIRES </t>
  </si>
  <si>
    <t xml:space="preserve">RESULTAT HORS ACTIVITES ORDINAIRES </t>
  </si>
  <si>
    <t xml:space="preserve">RESULTAT NET </t>
  </si>
  <si>
    <t xml:space="preserve">DETERMINATION DE LA CAPACITE D'AUTOFINANCEMENT </t>
  </si>
  <si>
    <r>
      <t xml:space="preserve">EBE  </t>
    </r>
    <r>
      <rPr>
        <sz val="8"/>
        <color rgb="FF000000"/>
        <rFont val="Arial"/>
        <family val="2"/>
      </rPr>
      <t xml:space="preserve">  </t>
    </r>
  </si>
  <si>
    <t xml:space="preserve">  + Valeurs comptables des cessions courantes d’immobilisation  (compte 654)    </t>
  </si>
  <si>
    <t xml:space="preserve">  - Produits des cessions courantes d’immobilisation (compte 754)    </t>
  </si>
  <si>
    <t xml:space="preserve">  = CAPACITE D'AUTOFINANCEMENT D'EXPLOITATION </t>
  </si>
  <si>
    <t xml:space="preserve">  + Revenus financiers    </t>
  </si>
  <si>
    <t xml:space="preserve">  + Gains de change    </t>
  </si>
  <si>
    <t xml:space="preserve">  + Transferts de charges financières   </t>
  </si>
  <si>
    <t xml:space="preserve">  + Produits HAO    </t>
  </si>
  <si>
    <t xml:space="preserve">  + Transferts de charges HAO   </t>
  </si>
  <si>
    <r>
      <t>-</t>
    </r>
    <r>
      <rPr>
        <sz val="7"/>
        <color rgb="FF000000"/>
        <rFont val="Times New Roman"/>
        <family val="1"/>
      </rPr>
      <t xml:space="preserve">  </t>
    </r>
    <r>
      <rPr>
        <sz val="8"/>
        <color rgb="FF000000"/>
        <rFont val="Arial"/>
        <family val="2"/>
      </rPr>
      <t xml:space="preserve">Frais financiers     </t>
    </r>
  </si>
  <si>
    <r>
      <t>-</t>
    </r>
    <r>
      <rPr>
        <sz val="7"/>
        <color rgb="FF000000"/>
        <rFont val="Times New Roman"/>
        <family val="1"/>
      </rPr>
      <t xml:space="preserve">  </t>
    </r>
    <r>
      <rPr>
        <sz val="8"/>
        <color rgb="FF000000"/>
        <rFont val="Arial"/>
        <family val="2"/>
      </rPr>
      <t xml:space="preserve">Pertes de change    </t>
    </r>
  </si>
  <si>
    <r>
      <t>-</t>
    </r>
    <r>
      <rPr>
        <sz val="7"/>
        <color rgb="FF000000"/>
        <rFont val="Times New Roman"/>
        <family val="1"/>
      </rPr>
      <t xml:space="preserve">  </t>
    </r>
    <r>
      <rPr>
        <sz val="8"/>
        <color rgb="FF000000"/>
        <rFont val="Arial"/>
        <family val="2"/>
      </rPr>
      <t xml:space="preserve">Participation    </t>
    </r>
  </si>
  <si>
    <r>
      <t>-</t>
    </r>
    <r>
      <rPr>
        <sz val="7"/>
        <color rgb="FF000000"/>
        <rFont val="Times New Roman"/>
        <family val="1"/>
      </rPr>
      <t xml:space="preserve">  </t>
    </r>
    <r>
      <rPr>
        <sz val="8"/>
        <color rgb="FF000000"/>
        <rFont val="Arial"/>
        <family val="2"/>
      </rPr>
      <t xml:space="preserve">Impôts sur les résultats    </t>
    </r>
  </si>
  <si>
    <t xml:space="preserve">  = CAPACITE D'AUTOFINANCEMENT GLOBALE (C.A.F.G.)    </t>
  </si>
  <si>
    <r>
      <t xml:space="preserve">  - </t>
    </r>
    <r>
      <rPr>
        <b/>
        <sz val="8"/>
        <color rgb="FF000000"/>
        <rFont val="Arial"/>
        <family val="2"/>
      </rPr>
      <t xml:space="preserve">Distributions de dividendes opérées durant l'exercice </t>
    </r>
    <r>
      <rPr>
        <sz val="8"/>
        <color rgb="FF000000"/>
        <rFont val="Arial"/>
        <family val="2"/>
      </rPr>
      <t xml:space="preserve">    </t>
    </r>
  </si>
  <si>
    <t xml:space="preserve">  = AUTOFINANCEMENT    </t>
  </si>
  <si>
    <r>
      <t>ANALYSE DE LA RENTABILITE</t>
    </r>
    <r>
      <rPr>
        <b/>
        <sz val="8"/>
        <color rgb="FFFFFFFF"/>
        <rFont val="Arial"/>
        <family val="2"/>
      </rPr>
      <t xml:space="preserve"> </t>
    </r>
  </si>
  <si>
    <t xml:space="preserve">Rentabilité économique = Résultat d’exploitation (a) /Capitaux propres + dettes financières  </t>
  </si>
  <si>
    <t xml:space="preserve">Rentabilité financière = Résultat net/Capitaux propres    </t>
  </si>
  <si>
    <r>
      <t>ANALYSE DE LA STRUCTURE FINANCIERE</t>
    </r>
    <r>
      <rPr>
        <b/>
        <sz val="8"/>
        <color rgb="FFFFFFFF"/>
        <rFont val="Arial"/>
        <family val="2"/>
      </rPr>
      <t xml:space="preserve"> </t>
    </r>
  </si>
  <si>
    <t xml:space="preserve">     Capitaux propres et ressources assimilées </t>
  </si>
  <si>
    <t xml:space="preserve">  + Dettes financières* et autres ressources assimilées (b) </t>
  </si>
  <si>
    <t xml:space="preserve">  = Ressources stables </t>
  </si>
  <si>
    <t xml:space="preserve">  - Actif immobilisé (b) </t>
  </si>
  <si>
    <t xml:space="preserve">    Actif circulant d'exploitation (b) </t>
  </si>
  <si>
    <r>
      <t>-</t>
    </r>
    <r>
      <rPr>
        <sz val="7"/>
        <color rgb="FF000000"/>
        <rFont val="Times New Roman"/>
        <family val="1"/>
      </rPr>
      <t xml:space="preserve">  </t>
    </r>
    <r>
      <rPr>
        <sz val="8"/>
        <color rgb="FF000000"/>
        <rFont val="Arial"/>
        <family val="2"/>
      </rPr>
      <t xml:space="preserve">Passif circulant d'exploitation (b) </t>
    </r>
  </si>
  <si>
    <t xml:space="preserve">  = BESOIN DE FINANCEMENT D'EXPLOITATION (2) </t>
  </si>
  <si>
    <t xml:space="preserve">    Actif circulant HAO (b) </t>
  </si>
  <si>
    <r>
      <t>-</t>
    </r>
    <r>
      <rPr>
        <sz val="7"/>
        <color rgb="FF000000"/>
        <rFont val="Times New Roman"/>
        <family val="1"/>
      </rPr>
      <t xml:space="preserve">  </t>
    </r>
    <r>
      <rPr>
        <sz val="8"/>
        <color rgb="FF000000"/>
        <rFont val="Arial"/>
        <family val="2"/>
      </rPr>
      <t xml:space="preserve">Passif circulant HAO (b) </t>
    </r>
  </si>
  <si>
    <t xml:space="preserve">  = BESOIN DE FINANCEMENT HAO (3) </t>
  </si>
  <si>
    <t xml:space="preserve">BESOIN DE FINANCEMENT GLOBAL (4) = (2) + (3)   </t>
  </si>
  <si>
    <t xml:space="preserve">CONTRÔLE : TRESORERIE NETTE = (TRESORERIE - ACTIF) - (TRESORERIE - PASSIF) </t>
  </si>
  <si>
    <r>
      <t>ANALYSE DE LA VARIATION DE LA TRESORERIE</t>
    </r>
    <r>
      <rPr>
        <b/>
        <sz val="8"/>
        <color rgb="FFFFFFFF"/>
        <rFont val="Arial"/>
        <family val="2"/>
      </rPr>
      <t xml:space="preserve"> </t>
    </r>
  </si>
  <si>
    <t xml:space="preserve">   Flux de trésorerie des activités opérationnelles </t>
  </si>
  <si>
    <t xml:space="preserve">  -Flux de trésorerie des activités d'investissement </t>
  </si>
  <si>
    <t xml:space="preserve">  +Flux de trésorerie des activités de financement </t>
  </si>
  <si>
    <t xml:space="preserve">  = VARIATION DE LA TRESORERIE NETTE DE LA PERIODE   </t>
  </si>
  <si>
    <r>
      <t xml:space="preserve">                        ANALYSE DE LA VARIATION DE L’ENDETTEMENT FINANCIER NET</t>
    </r>
    <r>
      <rPr>
        <b/>
        <sz val="8"/>
        <color rgb="FFFFFFFF"/>
        <rFont val="Arial"/>
        <family val="2"/>
      </rPr>
      <t xml:space="preserve"> </t>
    </r>
  </si>
  <si>
    <t xml:space="preserve">Endettement financiers brut (Dettes financières* + Trésorerie-Passif) </t>
  </si>
  <si>
    <t xml:space="preserve">  - Trésorerie-Actif</t>
  </si>
  <si>
    <r>
      <t>(a)</t>
    </r>
    <r>
      <rPr>
        <sz val="7"/>
        <color rgb="FF000000"/>
        <rFont val="Times New Roman"/>
        <family val="1"/>
      </rPr>
      <t xml:space="preserve">   </t>
    </r>
    <r>
      <rPr>
        <sz val="8"/>
        <color rgb="FF000000"/>
        <rFont val="Arial"/>
        <family val="2"/>
      </rPr>
      <t xml:space="preserve">Résultat d’exploitation après impôt théorique sur le bénéfice. </t>
    </r>
  </si>
  <si>
    <t xml:space="preserve">NOTE 35 : LISTE DES INFORMATIONS SOCIALES, ENVIRONNEMENTALES ET  </t>
  </si>
  <si>
    <t>Note obligatoire pour les entités ayant un effectif de plus de 250 salariés</t>
  </si>
  <si>
    <t xml:space="preserve">Liste des informations sociales, environnementales et sociétales à fournir </t>
  </si>
  <si>
    <t xml:space="preserve">INFORMATIONS SOCIALES </t>
  </si>
  <si>
    <t xml:space="preserve">Emploi : </t>
  </si>
  <si>
    <r>
      <t>•</t>
    </r>
    <r>
      <rPr>
        <sz val="7"/>
        <color rgb="FF000000"/>
        <rFont val="Times New Roman"/>
        <family val="1"/>
      </rPr>
      <t xml:space="preserve">   </t>
    </r>
    <r>
      <rPr>
        <sz val="9"/>
        <color rgb="FF000000"/>
        <rFont val="Arial"/>
        <family val="2"/>
      </rPr>
      <t xml:space="preserve">l'effectif total et la répartition des salariés par sexe, âge et zone géographique ; </t>
    </r>
  </si>
  <si>
    <r>
      <t>•</t>
    </r>
    <r>
      <rPr>
        <sz val="7"/>
        <color rgb="FF000000"/>
        <rFont val="Times New Roman"/>
        <family val="1"/>
      </rPr>
      <t xml:space="preserve">   </t>
    </r>
    <r>
      <rPr>
        <sz val="9"/>
        <color rgb="FF000000"/>
        <rFont val="Arial"/>
        <family val="2"/>
      </rPr>
      <t xml:space="preserve">les embauches et les licenciements ; </t>
    </r>
  </si>
  <si>
    <r>
      <t>•</t>
    </r>
    <r>
      <rPr>
        <sz val="7"/>
        <color rgb="FF000000"/>
        <rFont val="Times New Roman"/>
        <family val="1"/>
      </rPr>
      <t xml:space="preserve">   </t>
    </r>
    <r>
      <rPr>
        <sz val="9"/>
        <color rgb="FF000000"/>
        <rFont val="Arial"/>
        <family val="2"/>
      </rPr>
      <t xml:space="preserve">les rémunérations et leur évolution. </t>
    </r>
  </si>
  <si>
    <t xml:space="preserve">Relations sociales : </t>
  </si>
  <si>
    <r>
      <t>•</t>
    </r>
    <r>
      <rPr>
        <sz val="7"/>
        <color rgb="FF000000"/>
        <rFont val="Times New Roman"/>
        <family val="1"/>
      </rPr>
      <t xml:space="preserve">  </t>
    </r>
    <r>
      <rPr>
        <sz val="9"/>
        <color rgb="FF000000"/>
        <rFont val="Arial"/>
        <family val="2"/>
      </rPr>
      <t xml:space="preserve">l'organisation du dialogue social ; </t>
    </r>
  </si>
  <si>
    <r>
      <t>•</t>
    </r>
    <r>
      <rPr>
        <sz val="7"/>
        <color rgb="FF000000"/>
        <rFont val="Times New Roman"/>
        <family val="1"/>
      </rPr>
      <t xml:space="preserve">  </t>
    </r>
    <r>
      <rPr>
        <sz val="9"/>
        <color rgb="FF000000"/>
        <rFont val="Arial"/>
        <family val="2"/>
      </rPr>
      <t xml:space="preserve">le bilan des accords collectifs. </t>
    </r>
  </si>
  <si>
    <r>
      <t xml:space="preserve">Santé et sécurité : </t>
    </r>
    <r>
      <rPr>
        <sz val="9"/>
        <color rgb="FF000000"/>
        <rFont val="Arial"/>
        <family val="2"/>
      </rPr>
      <t xml:space="preserve">• les conditions de santé et de sécurité au travail ; </t>
    </r>
  </si>
  <si>
    <t xml:space="preserve">• le bilan des accords signés avec les organisations syndicales ou les représentants du personnel en matière de santé et de sécurité au travail. </t>
  </si>
  <si>
    <t xml:space="preserve">Formation : </t>
  </si>
  <si>
    <r>
      <t>•</t>
    </r>
    <r>
      <rPr>
        <sz val="7"/>
        <color rgb="FF000000"/>
        <rFont val="Times New Roman"/>
        <family val="1"/>
      </rPr>
      <t xml:space="preserve">  </t>
    </r>
    <r>
      <rPr>
        <sz val="9"/>
        <color rgb="FF000000"/>
        <rFont val="Arial"/>
        <family val="2"/>
      </rPr>
      <t xml:space="preserve">les politiques mises en œuvre en matière de formation ; </t>
    </r>
  </si>
  <si>
    <r>
      <t>•</t>
    </r>
    <r>
      <rPr>
        <sz val="7"/>
        <color rgb="FF000000"/>
        <rFont val="Times New Roman"/>
        <family val="1"/>
      </rPr>
      <t xml:space="preserve">  </t>
    </r>
    <r>
      <rPr>
        <sz val="9"/>
        <color rgb="FF000000"/>
        <rFont val="Arial"/>
        <family val="2"/>
      </rPr>
      <t xml:space="preserve">le nombre total d'heures de formation. </t>
    </r>
  </si>
  <si>
    <r>
      <t>Égalité de traitement</t>
    </r>
    <r>
      <rPr>
        <sz val="9"/>
        <color rgb="FF000000"/>
        <rFont val="Arial"/>
        <family val="2"/>
      </rPr>
      <t xml:space="preserve"> :</t>
    </r>
    <r>
      <rPr>
        <b/>
        <sz val="9"/>
        <color rgb="FF000000"/>
        <rFont val="Arial"/>
        <family val="2"/>
      </rPr>
      <t xml:space="preserve"> </t>
    </r>
  </si>
  <si>
    <r>
      <t>•</t>
    </r>
    <r>
      <rPr>
        <sz val="7"/>
        <color rgb="FF000000"/>
        <rFont val="Times New Roman"/>
        <family val="1"/>
      </rPr>
      <t xml:space="preserve">  </t>
    </r>
    <r>
      <rPr>
        <sz val="9"/>
        <color rgb="FF000000"/>
        <rFont val="Arial"/>
        <family val="2"/>
      </rPr>
      <t xml:space="preserve">les mesures prises en faveur de l'égalité entre les femmes et les hommes ; </t>
    </r>
  </si>
  <si>
    <r>
      <t>•</t>
    </r>
    <r>
      <rPr>
        <sz val="7"/>
        <color rgb="FF000000"/>
        <rFont val="Times New Roman"/>
        <family val="1"/>
      </rPr>
      <t xml:space="preserve">  </t>
    </r>
    <r>
      <rPr>
        <sz val="9"/>
        <color rgb="FF000000"/>
        <rFont val="Arial"/>
        <family val="2"/>
      </rPr>
      <t xml:space="preserve">les mesures prises en faveur de l'emploi et de l'insertion des personnes handicapées ; </t>
    </r>
  </si>
  <si>
    <t xml:space="preserve">INFORMATIONS ENVIRONNEMENTALES </t>
  </si>
  <si>
    <t xml:space="preserve">Politique générale en matière environnementale : </t>
  </si>
  <si>
    <r>
      <t>•</t>
    </r>
    <r>
      <rPr>
        <sz val="7"/>
        <color rgb="FF000000"/>
        <rFont val="Times New Roman"/>
        <family val="1"/>
      </rPr>
      <t xml:space="preserve"> </t>
    </r>
    <r>
      <rPr>
        <sz val="9"/>
        <color rgb="FF000000"/>
        <rFont val="Arial"/>
        <family val="2"/>
      </rPr>
      <t xml:space="preserve"> l'organisation de la société pour prendre en compte les questions environnementales et, le cas échéant, les démarches d'évaluation ou de certification en matière d'environnement ; </t>
    </r>
  </si>
  <si>
    <r>
      <t>•</t>
    </r>
    <r>
      <rPr>
        <sz val="7"/>
        <color rgb="FF000000"/>
        <rFont val="Times New Roman"/>
        <family val="1"/>
      </rPr>
      <t xml:space="preserve"> </t>
    </r>
    <r>
      <rPr>
        <sz val="9"/>
        <color rgb="FF000000"/>
        <rFont val="Arial"/>
        <family val="2"/>
      </rPr>
      <t xml:space="preserve"> les actions de formation et d'information des salariés menées en matière de protection de l'environnement ;</t>
    </r>
  </si>
  <si>
    <r>
      <t>•</t>
    </r>
    <r>
      <rPr>
        <sz val="7"/>
        <color rgb="FF000000"/>
        <rFont val="Times New Roman"/>
        <family val="1"/>
      </rPr>
      <t xml:space="preserve"> </t>
    </r>
    <r>
      <rPr>
        <sz val="9"/>
        <color rgb="FF000000"/>
        <rFont val="Arial"/>
        <family val="2"/>
      </rPr>
      <t xml:space="preserve"> les moyens consacrés à la prévention des risques environnementaux et des pollutions. </t>
    </r>
  </si>
  <si>
    <t xml:space="preserve">Pollution et gestion des déchets : </t>
  </si>
  <si>
    <r>
      <t>•</t>
    </r>
    <r>
      <rPr>
        <sz val="7"/>
        <color rgb="FF000000"/>
        <rFont val="Times New Roman"/>
        <family val="1"/>
      </rPr>
      <t xml:space="preserve">     </t>
    </r>
    <r>
      <rPr>
        <sz val="9"/>
        <color rgb="FF000000"/>
        <rFont val="Arial"/>
        <family val="2"/>
      </rPr>
      <t xml:space="preserve">les mesures de prévention, de réduction ou de réparation de rejets dans l'air, l'eau et le sol affectant gravement l'environnement ; </t>
    </r>
  </si>
  <si>
    <r>
      <t>•</t>
    </r>
    <r>
      <rPr>
        <sz val="7"/>
        <color rgb="FF000000"/>
        <rFont val="Times New Roman"/>
        <family val="1"/>
      </rPr>
      <t xml:space="preserve">     </t>
    </r>
    <r>
      <rPr>
        <sz val="9"/>
        <color rgb="FF000000"/>
        <rFont val="Arial"/>
        <family val="2"/>
      </rPr>
      <t xml:space="preserve">les mesures de prévention, de recyclage et d'élimination des déchets ; </t>
    </r>
  </si>
  <si>
    <r>
      <t>•</t>
    </r>
    <r>
      <rPr>
        <sz val="7"/>
        <color rgb="FF000000"/>
        <rFont val="Times New Roman"/>
        <family val="1"/>
      </rPr>
      <t xml:space="preserve">     </t>
    </r>
    <r>
      <rPr>
        <sz val="9"/>
        <color rgb="FF000000"/>
        <rFont val="Arial"/>
        <family val="2"/>
      </rPr>
      <t xml:space="preserve">la prise en compte des nuisances sonores et de toute autre forme de pollution spécifique à une activité. </t>
    </r>
  </si>
  <si>
    <t xml:space="preserve">Utilisation durable des ressources : </t>
  </si>
  <si>
    <r>
      <t>•</t>
    </r>
    <r>
      <rPr>
        <sz val="7"/>
        <color rgb="FF000000"/>
        <rFont val="Times New Roman"/>
        <family val="1"/>
      </rPr>
      <t xml:space="preserve">     </t>
    </r>
    <r>
      <rPr>
        <sz val="9"/>
        <color rgb="FF000000"/>
        <rFont val="Arial"/>
        <family val="2"/>
      </rPr>
      <t xml:space="preserve">la consommation d'eau et l'approvisionnement en eau en fonction des contraintes locales ; </t>
    </r>
  </si>
  <si>
    <r>
      <t>•</t>
    </r>
    <r>
      <rPr>
        <sz val="7"/>
        <color rgb="FF000000"/>
        <rFont val="Times New Roman"/>
        <family val="1"/>
      </rPr>
      <t xml:space="preserve">     </t>
    </r>
    <r>
      <rPr>
        <sz val="9"/>
        <color rgb="FF000000"/>
        <rFont val="Arial"/>
        <family val="2"/>
      </rPr>
      <t xml:space="preserve">la consommation de matières premières et les mesures prises pour améliorer l'efficacité dans leur utilisation ; </t>
    </r>
  </si>
  <si>
    <r>
      <t>•</t>
    </r>
    <r>
      <rPr>
        <sz val="7"/>
        <color rgb="FF000000"/>
        <rFont val="Times New Roman"/>
        <family val="1"/>
      </rPr>
      <t xml:space="preserve">     </t>
    </r>
    <r>
      <rPr>
        <sz val="9"/>
        <color rgb="FF000000"/>
        <rFont val="Arial"/>
        <family val="2"/>
      </rPr>
      <t xml:space="preserve">la consommation d'énergie, les mesures prises pour améliorer l'efficacité énergétique et le recours aux énergies renouvelables. </t>
    </r>
  </si>
  <si>
    <t xml:space="preserve">Changement climatique : </t>
  </si>
  <si>
    <t xml:space="preserve">• les rejets de gaz à effet de serre. </t>
  </si>
  <si>
    <t xml:space="preserve">Protection de la biodiversité : </t>
  </si>
  <si>
    <t xml:space="preserve">• les mesures prises pour préserver ou développer la biodiversité. </t>
  </si>
  <si>
    <t xml:space="preserve">INFORMATIONS RELATIVES AUX ENGAGEMENTS SOCIÉTAUX EN FAVEUR DU </t>
  </si>
  <si>
    <t xml:space="preserve">DÉVELOPPEMENT DURABLE </t>
  </si>
  <si>
    <t xml:space="preserve">Impact territorial, économique et social de l'activité de la société : </t>
  </si>
  <si>
    <r>
      <t>•</t>
    </r>
    <r>
      <rPr>
        <sz val="7"/>
        <color rgb="FF000000"/>
        <rFont val="Times New Roman"/>
        <family val="1"/>
      </rPr>
      <t xml:space="preserve">  </t>
    </r>
    <r>
      <rPr>
        <sz val="9"/>
        <color rgb="FF000000"/>
        <rFont val="Arial"/>
        <family val="2"/>
      </rPr>
      <t xml:space="preserve">en matière d'emploi et de développement régional ; </t>
    </r>
  </si>
  <si>
    <r>
      <t>•</t>
    </r>
    <r>
      <rPr>
        <sz val="7"/>
        <color rgb="FF000000"/>
        <rFont val="Times New Roman"/>
        <family val="1"/>
      </rPr>
      <t xml:space="preserve">  </t>
    </r>
    <r>
      <rPr>
        <sz val="9"/>
        <color rgb="FF000000"/>
        <rFont val="Arial"/>
        <family val="2"/>
      </rPr>
      <t xml:space="preserve">sur les populations riveraines ou locales. </t>
    </r>
  </si>
  <si>
    <t xml:space="preserve">Relations entretenues avec les personnes ou les organisations intéressées par l'activité de la société (associations d'insertion, établissements d'enseignement...) : </t>
  </si>
  <si>
    <r>
      <t>•</t>
    </r>
    <r>
      <rPr>
        <sz val="7"/>
        <color rgb="FF000000"/>
        <rFont val="Times New Roman"/>
        <family val="1"/>
      </rPr>
      <t xml:space="preserve">  </t>
    </r>
    <r>
      <rPr>
        <sz val="9"/>
        <color rgb="FF000000"/>
        <rFont val="Arial"/>
        <family val="2"/>
      </rPr>
      <t xml:space="preserve">les conditions du dialogue avec ces personnes ou organisations ; </t>
    </r>
  </si>
  <si>
    <r>
      <t>•</t>
    </r>
    <r>
      <rPr>
        <sz val="7"/>
        <color rgb="FF000000"/>
        <rFont val="Times New Roman"/>
        <family val="1"/>
      </rPr>
      <t xml:space="preserve">  </t>
    </r>
    <r>
      <rPr>
        <sz val="9"/>
        <color rgb="FF000000"/>
        <rFont val="Arial"/>
        <family val="2"/>
      </rPr>
      <t xml:space="preserve">les actions de partenariat ou de mécénat. </t>
    </r>
  </si>
  <si>
    <t xml:space="preserve">Sous-traitance et fournisseurs : </t>
  </si>
  <si>
    <t xml:space="preserve">• la prise en compte dans la politique d'achat des enjeux sociaux et environnementaux. </t>
  </si>
  <si>
    <r>
      <t>NOTE</t>
    </r>
    <r>
      <rPr>
        <b/>
        <sz val="10"/>
        <color theme="1"/>
        <rFont val="Cambria"/>
        <family val="1"/>
      </rPr>
      <t xml:space="preserve"> 27B</t>
    </r>
  </si>
  <si>
    <t>EFFECTIFS, MASSE SALARIALE ET PERSONNEL EXTERIEUR</t>
  </si>
  <si>
    <t>QUALIFICATIONS</t>
  </si>
  <si>
    <t>EFFECTIFS</t>
  </si>
  <si>
    <t>MASSE SALARIALE</t>
  </si>
  <si>
    <t>Nationaux</t>
  </si>
  <si>
    <t>Autres Etats de l’OHADA</t>
  </si>
  <si>
    <t>Hors OHADA</t>
  </si>
  <si>
    <t>M</t>
  </si>
  <si>
    <t>YA</t>
  </si>
  <si>
    <t>1. Cadres supérieurs</t>
  </si>
  <si>
    <t>YB</t>
  </si>
  <si>
    <t>2. Techniciens supérieurs et cadres moyens</t>
  </si>
  <si>
    <t>YC</t>
  </si>
  <si>
    <t>3. Techniciens, agents de maîtrise et ouvriers qualifiés</t>
  </si>
  <si>
    <t>YD</t>
  </si>
  <si>
    <t>4. Employés, manœuvres, ouvriers et apprentis</t>
  </si>
  <si>
    <t>YE</t>
  </si>
  <si>
    <t>TOTAL (1)</t>
  </si>
  <si>
    <t>YF</t>
  </si>
  <si>
    <t xml:space="preserve">Permanents </t>
  </si>
  <si>
    <t>YG</t>
  </si>
  <si>
    <t xml:space="preserve">Saisonniers </t>
  </si>
  <si>
    <t>Facturation à l’entité</t>
  </si>
  <si>
    <t>2. Personnel extérieur</t>
  </si>
  <si>
    <t>YH</t>
  </si>
  <si>
    <t>YI</t>
  </si>
  <si>
    <t>YJ</t>
  </si>
  <si>
    <t>YK</t>
  </si>
  <si>
    <t>M : Masculin</t>
  </si>
  <si>
    <t>YL</t>
  </si>
  <si>
    <t>TOTAL (2)</t>
  </si>
  <si>
    <t>YM</t>
  </si>
  <si>
    <t>YN</t>
  </si>
  <si>
    <t>YO</t>
  </si>
  <si>
    <t>TOTAL (1 + 2)</t>
  </si>
  <si>
    <r>
      <t>Commentaire</t>
    </r>
    <r>
      <rPr>
        <sz val="10"/>
        <color theme="1"/>
        <rFont val="Arial"/>
        <family val="2"/>
      </rPr>
      <t> :</t>
    </r>
  </si>
  <si>
    <r>
      <t>·</t>
    </r>
    <r>
      <rPr>
        <sz val="7"/>
        <color theme="1"/>
        <rFont val="Times New Roman"/>
        <family val="1"/>
      </rPr>
      <t xml:space="preserve">         </t>
    </r>
    <r>
      <rPr>
        <i/>
        <sz val="10"/>
        <color theme="1"/>
        <rFont val="Arial"/>
        <family val="2"/>
      </rPr>
      <t>Faire un commentaire si nécessaire en cas de mouvement significatif du personnel</t>
    </r>
    <r>
      <rPr>
        <sz val="10"/>
        <color theme="1"/>
        <rFont val="Arial"/>
        <family val="2"/>
      </rPr>
      <t>.</t>
    </r>
  </si>
  <si>
    <r>
      <t>NOTE</t>
    </r>
    <r>
      <rPr>
        <b/>
        <sz val="11"/>
        <color theme="1"/>
        <rFont val="Cambria"/>
        <family val="1"/>
      </rPr>
      <t xml:space="preserve"> 28</t>
    </r>
  </si>
  <si>
    <t>PROVISIONS ET DEPRECIATIONS INSCRITES AU BILAN</t>
  </si>
  <si>
    <t>PROVISIONS A LOUVERTURE DE L’EXERCICE</t>
  </si>
  <si>
    <t>AUGMENTATIONS DOTATIONS</t>
  </si>
  <si>
    <t>DIMINUTIONS REPRISES</t>
  </si>
  <si>
    <t>PROVISIONS LA CLOTURE DE L’EXERCICE</t>
  </si>
  <si>
    <t>HORS ACTIVITES ORDINAIRES</t>
  </si>
  <si>
    <t>HORS ACTIVITES ORDINQIRES</t>
  </si>
  <si>
    <t>1. Provisions réglementées</t>
  </si>
  <si>
    <t xml:space="preserve">2. Provisions financières pour risques et charges </t>
  </si>
  <si>
    <t>3. Dépréciation des immobilisations</t>
  </si>
  <si>
    <t>TOTAL DOTATIONS</t>
  </si>
  <si>
    <t>4. Dépréciations des stocks</t>
  </si>
  <si>
    <t>5. Dépréciations actif circulant HAO</t>
  </si>
  <si>
    <t>6. Dépréciations fournisseurs</t>
  </si>
  <si>
    <t>7. Dépréciations clients</t>
  </si>
  <si>
    <t>5. Dépréciations fournisseurs</t>
  </si>
  <si>
    <t>7. Dépréciations autres créances</t>
  </si>
  <si>
    <t>8. Dépréciations titres de placement</t>
  </si>
  <si>
    <t>9. Dépréciations valeurs à encaisser</t>
  </si>
  <si>
    <t xml:space="preserve">10. Dépréciations disponibilité </t>
  </si>
  <si>
    <t>TOTAL PROVISIONS ET DEPRECIATIONS</t>
  </si>
  <si>
    <t>Indiquer les événements et circonstances qui ont conduit à la constitution et à la reprise de la dépréciation et de la provision.</t>
  </si>
  <si>
    <r>
      <t>Commentaire </t>
    </r>
    <r>
      <rPr>
        <sz val="9"/>
        <color theme="1"/>
        <rFont val="Arial"/>
        <family val="2"/>
      </rPr>
      <t>:</t>
    </r>
  </si>
  <si>
    <r>
      <t xml:space="preserve"> </t>
    </r>
    <r>
      <rPr>
        <b/>
        <u/>
        <sz val="11"/>
        <color rgb="FF002060"/>
        <rFont val="Times New Roman"/>
        <family val="1"/>
      </rPr>
      <t>NOTE</t>
    </r>
    <r>
      <rPr>
        <b/>
        <sz val="11"/>
        <color rgb="FF002060"/>
        <rFont val="Times New Roman"/>
        <family val="1"/>
      </rPr>
      <t xml:space="preserve"> 29 </t>
    </r>
  </si>
  <si>
    <r>
      <t xml:space="preserve">     Commentaires </t>
    </r>
    <r>
      <rPr>
        <sz val="9"/>
        <color rgb="FF000000"/>
        <rFont val="Arial"/>
        <family val="2"/>
      </rPr>
      <t xml:space="preserve">:  </t>
    </r>
  </si>
  <si>
    <r>
      <t>•</t>
    </r>
    <r>
      <rPr>
        <sz val="9"/>
        <color rgb="FF000000"/>
        <rFont val="Times New Roman"/>
        <family val="1"/>
      </rPr>
      <t xml:space="preserve">      </t>
    </r>
    <r>
      <rPr>
        <i/>
        <sz val="9"/>
        <color rgb="FF000000"/>
        <rFont val="Arial"/>
        <family val="2"/>
      </rPr>
      <t xml:space="preserve">Commenter toute variation significative </t>
    </r>
  </si>
  <si>
    <r>
      <t>•</t>
    </r>
    <r>
      <rPr>
        <sz val="9"/>
        <color rgb="FF000000"/>
        <rFont val="Times New Roman"/>
        <family val="1"/>
      </rPr>
      <t xml:space="preserve">      </t>
    </r>
    <r>
      <rPr>
        <i/>
        <sz val="9"/>
        <color rgb="FF000000"/>
        <rFont val="Arial"/>
        <family val="2"/>
      </rPr>
      <t xml:space="preserve">En cas de paiement à terme, indiquer le montant des intérêts non comptabilisés </t>
    </r>
  </si>
  <si>
    <r>
      <t xml:space="preserve">       </t>
    </r>
    <r>
      <rPr>
        <b/>
        <u/>
        <sz val="9"/>
        <color rgb="FF002060"/>
        <rFont val="Times New Roman"/>
        <family val="1"/>
      </rPr>
      <t>NOTE</t>
    </r>
    <r>
      <rPr>
        <b/>
        <sz val="9"/>
        <color rgb="FF002060"/>
        <rFont val="Times New Roman"/>
        <family val="1"/>
      </rPr>
      <t xml:space="preserve"> 30 </t>
    </r>
  </si>
  <si>
    <r>
      <t xml:space="preserve">AUTRES  CHARGES ET PRODUITS HAO </t>
    </r>
    <r>
      <rPr>
        <sz val="9"/>
        <color rgb="FF548DD4"/>
        <rFont val="Times New Roman"/>
        <family val="1"/>
      </rPr>
      <t xml:space="preserve"> </t>
    </r>
  </si>
  <si>
    <r>
      <t xml:space="preserve">Charges HAO constatées (1) </t>
    </r>
    <r>
      <rPr>
        <b/>
        <sz val="9"/>
        <color rgb="FF000000"/>
        <rFont val="Arial"/>
        <family val="2"/>
      </rPr>
      <t>à détailler</t>
    </r>
    <r>
      <rPr>
        <sz val="9"/>
        <color rgb="FF000000"/>
        <rFont val="Arial"/>
        <family val="2"/>
      </rPr>
      <t xml:space="preserve"> </t>
    </r>
  </si>
  <si>
    <r>
      <t xml:space="preserve">Produits HAO constatés (1) </t>
    </r>
    <r>
      <rPr>
        <b/>
        <sz val="9"/>
        <color rgb="FF000000"/>
        <rFont val="Arial"/>
        <family val="2"/>
      </rPr>
      <t>à détailler</t>
    </r>
    <r>
      <rPr>
        <sz val="9"/>
        <color rgb="FF000000"/>
        <rFont val="Arial"/>
        <family val="2"/>
      </rPr>
      <t xml:space="preserve"> </t>
    </r>
  </si>
  <si>
    <r>
      <t xml:space="preserve">      Commentaire </t>
    </r>
    <r>
      <rPr>
        <sz val="9"/>
        <color rgb="FF000000"/>
        <rFont val="Arial"/>
        <family val="2"/>
      </rPr>
      <t xml:space="preserve">:  </t>
    </r>
  </si>
  <si>
    <r>
      <t>NOTE</t>
    </r>
    <r>
      <rPr>
        <b/>
        <sz val="11"/>
        <color theme="1"/>
        <rFont val="Cambria"/>
        <family val="1"/>
      </rPr>
      <t xml:space="preserve"> 31</t>
    </r>
  </si>
  <si>
    <t>REPARATION DU RESULTAT ET AUTRES ELEMENTS CARACTERISTIQUES DES CINQ DERNIERS EXERCICES</t>
  </si>
  <si>
    <r>
      <t>STRUCTURE DU CAPITAL A LA CLOTURE DE L’EXERCICE(</t>
    </r>
    <r>
      <rPr>
        <b/>
        <vertAlign val="superscript"/>
        <sz val="10"/>
        <color theme="1"/>
        <rFont val="Arial"/>
        <family val="2"/>
      </rPr>
      <t>2</t>
    </r>
    <r>
      <rPr>
        <b/>
        <sz val="10"/>
        <color theme="1"/>
        <rFont val="Arial"/>
        <family val="2"/>
      </rPr>
      <t>)</t>
    </r>
  </si>
  <si>
    <t>Capital social</t>
  </si>
  <si>
    <t>Actions ordinaires</t>
  </si>
  <si>
    <t>Actions à dividendes prioritaires (A.D.P) sans droit de vote</t>
  </si>
  <si>
    <t>Actions nouvelles à mettre :</t>
  </si>
  <si>
    <r>
      <t>-</t>
    </r>
    <r>
      <rPr>
        <sz val="7"/>
        <color theme="1"/>
        <rFont val="Times New Roman"/>
        <family val="1"/>
      </rPr>
      <t xml:space="preserve">          </t>
    </r>
    <r>
      <rPr>
        <sz val="10"/>
        <color theme="1"/>
        <rFont val="Arial"/>
        <family val="2"/>
      </rPr>
      <t>Par conversion d’obligations</t>
    </r>
  </si>
  <si>
    <r>
      <t>-</t>
    </r>
    <r>
      <rPr>
        <sz val="7"/>
        <color theme="1"/>
        <rFont val="Times New Roman"/>
        <family val="1"/>
      </rPr>
      <t xml:space="preserve">          </t>
    </r>
    <r>
      <rPr>
        <sz val="10"/>
        <color theme="1"/>
        <rFont val="Arial"/>
        <family val="2"/>
      </rPr>
      <t>Par exercice de droits de souscription</t>
    </r>
  </si>
  <si>
    <r>
      <t>OPERATION ET RESULTATS DE L’EXERCICE (</t>
    </r>
    <r>
      <rPr>
        <b/>
        <vertAlign val="superscript"/>
        <sz val="10"/>
        <color theme="1"/>
        <rFont val="Arial"/>
        <family val="2"/>
      </rPr>
      <t>3</t>
    </r>
    <r>
      <rPr>
        <b/>
        <sz val="10"/>
        <color theme="1"/>
        <rFont val="Arial"/>
        <family val="2"/>
      </rPr>
      <t>)</t>
    </r>
  </si>
  <si>
    <t>Chiffres d’affaire hors taxes</t>
  </si>
  <si>
    <t>Résultats des  activités ordinaires (R.A.O) hors dotation et reprises (exploitation et financières)</t>
  </si>
  <si>
    <t>Participation des travailleurs aux bénéfices</t>
  </si>
  <si>
    <t>Impôt sur le résultat</t>
  </si>
  <si>
    <r>
      <t>Résultat net(</t>
    </r>
    <r>
      <rPr>
        <vertAlign val="superscript"/>
        <sz val="10"/>
        <color theme="1"/>
        <rFont val="Arial"/>
        <family val="2"/>
      </rPr>
      <t>4</t>
    </r>
    <r>
      <rPr>
        <sz val="10"/>
        <color theme="1"/>
        <rFont val="Arial"/>
        <family val="2"/>
      </rPr>
      <t>)</t>
    </r>
  </si>
  <si>
    <t>RESULTAT ET DIVIDENDE DISTRIBUES</t>
  </si>
  <si>
    <r>
      <t>Résultat distribué (</t>
    </r>
    <r>
      <rPr>
        <vertAlign val="superscript"/>
        <sz val="10"/>
        <color theme="1"/>
        <rFont val="Arial"/>
        <family val="2"/>
      </rPr>
      <t>5</t>
    </r>
    <r>
      <rPr>
        <sz val="10"/>
        <color theme="1"/>
        <rFont val="Arial"/>
        <family val="2"/>
      </rPr>
      <t>)</t>
    </r>
  </si>
  <si>
    <t>Dividende attribué à chaque action</t>
  </si>
  <si>
    <t>PERSONNEL ET POLITIQUE SALARIALE</t>
  </si>
  <si>
    <r>
      <t>Effectif moyen des travailleurs au cours de l’exercice (</t>
    </r>
    <r>
      <rPr>
        <vertAlign val="superscript"/>
        <sz val="10"/>
        <color theme="1"/>
        <rFont val="Arial"/>
        <family val="2"/>
      </rPr>
      <t>6</t>
    </r>
    <r>
      <rPr>
        <sz val="10"/>
        <color theme="1"/>
        <rFont val="Arial"/>
        <family val="2"/>
      </rPr>
      <t>)</t>
    </r>
  </si>
  <si>
    <t>Effectif moyen de personnel extérieur</t>
  </si>
  <si>
    <r>
      <t>Masse salariale distribuée au cours de l’exercice (</t>
    </r>
    <r>
      <rPr>
        <vertAlign val="superscript"/>
        <sz val="10"/>
        <color theme="1"/>
        <rFont val="Arial"/>
        <family val="2"/>
      </rPr>
      <t>7</t>
    </r>
    <r>
      <rPr>
        <sz val="10"/>
        <color theme="1"/>
        <rFont val="Arial"/>
        <family val="2"/>
      </rPr>
      <t>)</t>
    </r>
  </si>
  <si>
    <r>
      <t>Personnel extérieur facturé à l’entité (</t>
    </r>
    <r>
      <rPr>
        <vertAlign val="superscript"/>
        <sz val="10"/>
        <color theme="1"/>
        <rFont val="Arial"/>
        <family val="2"/>
      </rPr>
      <t>9</t>
    </r>
    <r>
      <rPr>
        <sz val="10"/>
        <color theme="1"/>
        <rFont val="Arial"/>
        <family val="2"/>
      </rPr>
      <t>)</t>
    </r>
  </si>
  <si>
    <t>(6) Personnel propre</t>
  </si>
  <si>
    <t>(7) Total des comptes 661, 662, 663</t>
  </si>
  <si>
    <t>(8) Total des comptes 664,668</t>
  </si>
  <si>
    <t>(9) Compte 667</t>
  </si>
  <si>
    <r>
      <t>NOTE</t>
    </r>
    <r>
      <rPr>
        <b/>
        <sz val="11"/>
        <color theme="1"/>
        <rFont val="Cambria"/>
        <family val="1"/>
      </rPr>
      <t xml:space="preserve"> 32</t>
    </r>
  </si>
  <si>
    <t>PRODUCTION DE L’EXERCICE</t>
  </si>
  <si>
    <t>DESIGNATION DU PRODUIT</t>
  </si>
  <si>
    <t>UNITE DE QUANTITE CHOISIE</t>
  </si>
  <si>
    <t xml:space="preserve">PRODUCTION           IMMOBILISEE        </t>
  </si>
  <si>
    <t xml:space="preserve">STOCK OUVERTURE DE L’EXERCICE </t>
  </si>
  <si>
    <t>Quantité</t>
  </si>
  <si>
    <t>Valeur</t>
  </si>
  <si>
    <t>NON VENTILE</t>
  </si>
  <si>
    <r>
      <t xml:space="preserve">NOTE </t>
    </r>
    <r>
      <rPr>
        <b/>
        <sz val="11"/>
        <color theme="1"/>
        <rFont val="Cambria"/>
        <family val="1"/>
      </rPr>
      <t>33</t>
    </r>
  </si>
  <si>
    <t>DESIGNATION DES MATIERES ET PRODUITS</t>
  </si>
  <si>
    <t>ACHATS EFFECTUES AU COURS DE L’EXERCICE</t>
  </si>
  <si>
    <t>VARIATION DES STOCKS</t>
  </si>
  <si>
    <t>PRODUITS DE L’ETAT</t>
  </si>
  <si>
    <t>PRODUITS IMPORTES</t>
  </si>
  <si>
    <t>ACHETES DANS L’ETAT</t>
  </si>
  <si>
    <t>ACHETES HORS DE L’ETAT</t>
  </si>
  <si>
    <t>(en valeur)</t>
  </si>
  <si>
    <t>NON VENTILES</t>
  </si>
  <si>
    <r>
      <t xml:space="preserve">                      </t>
    </r>
    <r>
      <rPr>
        <b/>
        <sz val="11"/>
        <color rgb="FF0070C0"/>
        <rFont val="Cambria"/>
        <family val="1"/>
      </rPr>
      <t>ACHATS DESTINES A LA PRODUCTION</t>
    </r>
  </si>
  <si>
    <r>
      <t>(b)</t>
    </r>
    <r>
      <rPr>
        <sz val="7"/>
        <color rgb="FF000000"/>
        <rFont val="Times New Roman"/>
        <family val="1"/>
      </rPr>
      <t xml:space="preserve">   </t>
    </r>
    <r>
      <rPr>
        <sz val="8"/>
        <color rgb="FF000000"/>
        <rFont val="Arial"/>
        <family val="2"/>
      </rPr>
      <t xml:space="preserve">Les écarts de conversion doivent être éliminés afin de ramener les créances et les dettes concernées  à leur valeur initiale. </t>
    </r>
    <r>
      <rPr>
        <b/>
        <sz val="8"/>
        <color rgb="FF000000"/>
        <rFont val="Arial"/>
        <family val="2"/>
      </rPr>
      <t xml:space="preserve">  </t>
    </r>
  </si>
  <si>
    <r>
      <t>1-Code  Forme  Juridique (</t>
    </r>
    <r>
      <rPr>
        <b/>
        <vertAlign val="superscript"/>
        <sz val="10"/>
        <color theme="1"/>
        <rFont val="Arial"/>
        <family val="2"/>
      </rPr>
      <t>1</t>
    </r>
    <r>
      <rPr>
        <b/>
        <sz val="10"/>
        <color theme="1"/>
        <rFont val="Arial"/>
        <family val="2"/>
      </rPr>
      <t>)</t>
    </r>
  </si>
  <si>
    <t>3- Code Pays du Siège Social</t>
  </si>
  <si>
    <t>Société  Anonyme (SA) à participation publique</t>
  </si>
  <si>
    <t>Pays OHADA (²)</t>
  </si>
  <si>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</si>
  <si>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</si>
  <si>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</si>
  <si>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</si>
  <si>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</si>
  <si>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</si>
  <si>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</si>
  <si>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</si>
  <si>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</si>
  <si>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</si>
  <si>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Economique (GIE)</t>
  </si>
  <si>
    <t>Autres pays américains</t>
  </si>
  <si>
    <t>Association</t>
  </si>
  <si>
    <t>Pays asiatiques</t>
  </si>
  <si>
    <t>Société par Actions Simplifiées (SAS)</t>
  </si>
  <si>
    <t>Autres pays</t>
  </si>
  <si>
    <t>Autre Forme Juridique (à préciser)</t>
  </si>
  <si>
    <t>2- Code  Régime Fiscal</t>
  </si>
  <si>
    <t>Réel Normal</t>
  </si>
  <si>
    <t>Réel simplifié</t>
  </si>
  <si>
    <t>Synthétique</t>
  </si>
  <si>
    <t>Forfait</t>
  </si>
  <si>
    <t>CODES  ACTIVITES ECONOMIQIES</t>
  </si>
  <si>
    <t>Agriculture  vivrière</t>
  </si>
  <si>
    <t>Industrie du caoutchouc et des plastiques</t>
  </si>
  <si>
    <t>001 001 Culture Céréalière</t>
  </si>
  <si>
    <t>022 001 Fabrication du caoutchouc naturel</t>
  </si>
  <si>
    <t>001 002 Culture de tubercules et plantains</t>
  </si>
  <si>
    <t>022 002 industries de caoutchouc</t>
  </si>
  <si>
    <t>001 003 Culture de légumes</t>
  </si>
  <si>
    <t>022 003 Fabrication de matières plastiques</t>
  </si>
  <si>
    <t>001 004 Culture de condiments</t>
  </si>
  <si>
    <t>Fabrication d’autres produits minéraux non métallique et de matériaux de construction</t>
  </si>
  <si>
    <t>001 005 Culture de fruits</t>
  </si>
  <si>
    <t>023 001 Industrie du verre</t>
  </si>
  <si>
    <t>001 006 Culture d’autres produits de l’agriculture vivrière</t>
  </si>
  <si>
    <t>023 002 Fabrication de produits minéraux pour la construction</t>
  </si>
  <si>
    <t>Agriculture Industrielle et d’exportation</t>
  </si>
  <si>
    <t>023 003 Fabrication d’autres produits minéraux non métalliques</t>
  </si>
  <si>
    <t>002 001 Culture de canne à sucre</t>
  </si>
  <si>
    <t>Métallurgie et travail des métaux</t>
  </si>
  <si>
    <t>002 002 Culture d’arachide d’huilerie</t>
  </si>
  <si>
    <t>024 001 Métallurgie</t>
  </si>
  <si>
    <t>002 003 Culture d’arachide de bouche</t>
  </si>
  <si>
    <t>002 004 Culture de tabac</t>
  </si>
  <si>
    <t>Fabrication de machines, d’équipement et d’appareils électriques</t>
  </si>
  <si>
    <t>002 005 Culture de coton</t>
  </si>
  <si>
    <t>025 001 Fabrication de machines, et d’équipement</t>
  </si>
  <si>
    <t>002 006 Culture de blé</t>
  </si>
  <si>
    <t>002 007 Culture de cacao</t>
  </si>
  <si>
    <t>025 003 Fabrication d’appareils électriques</t>
  </si>
  <si>
    <t>002 008 Culture de café</t>
  </si>
  <si>
    <t>Fabrication d’équipements et appareils audiovisuels et de communication ; fabrication d’instruments médicaux, d’optique et d’horlogerie</t>
  </si>
  <si>
    <t>002 009 Culture de banane d’exportation</t>
  </si>
  <si>
    <t>026 001 Fabrication d’équipements et appareils audiovisuels et de communication</t>
  </si>
  <si>
    <t>002 010 Culture d’ananas d’exportation</t>
  </si>
  <si>
    <t>026 002 Fabrication d’instruments médicaux, d’optique et d’horlogerie</t>
  </si>
  <si>
    <t>002 011 Autres cultures industrielles</t>
  </si>
  <si>
    <t>Fabrication de matériel de transport</t>
  </si>
  <si>
    <t>Elevage et Chasse</t>
  </si>
  <si>
    <t>027 001 Fabrication de véhicule routier</t>
  </si>
  <si>
    <t>003 001 Elevage bovin</t>
  </si>
  <si>
    <t>027 002 Fabrication d’autres matériels de transport</t>
  </si>
  <si>
    <t>003 002 Elevage ovin, caprin, équin</t>
  </si>
  <si>
    <t>Industrie diverses</t>
  </si>
  <si>
    <t>003 003 Elevage de volaille</t>
  </si>
  <si>
    <t>028 001 Fabrication de meubles</t>
  </si>
  <si>
    <t>003 004 Autres élevages</t>
  </si>
  <si>
    <t>003 005 Chasse</t>
  </si>
  <si>
    <t>Production et distribution d’eau, d’électricité et de gaz</t>
  </si>
  <si>
    <t>Sylviculture, exploitation forestière</t>
  </si>
  <si>
    <t>004 001 Sylviculture</t>
  </si>
  <si>
    <t>004 002 Exploitation forestière</t>
  </si>
  <si>
    <t>029 003 Production et distribution de gaz</t>
  </si>
  <si>
    <t>Pêche et aquaculture</t>
  </si>
  <si>
    <t>Construction</t>
  </si>
  <si>
    <t>005 001 Pêche de poisson</t>
  </si>
  <si>
    <t>030 001 Préparation de sites et construction d’ouvrages de bâtiments ou de génie civil</t>
  </si>
  <si>
    <t>005 002 autres pêches et aquaculture</t>
  </si>
  <si>
    <t>030 002 Travaux d’installation et de finition</t>
  </si>
  <si>
    <t>Industrie extractives</t>
  </si>
  <si>
    <t>Commerce</t>
  </si>
  <si>
    <t>006 001 Extraction d’hydrocarbure</t>
  </si>
  <si>
    <t>031 001 Commerce de véhicules, d’accessoires et de carburant</t>
  </si>
  <si>
    <t>006 002 Extraction d’autres produits</t>
  </si>
  <si>
    <t>031 002 Commerce de produits agricoles bruts et d’animaux vivants</t>
  </si>
  <si>
    <t>Production de viandes et de poissons</t>
  </si>
  <si>
    <t>031 003 Autres commerces</t>
  </si>
  <si>
    <t>007 001 Production de viandes et de produits à base de viande</t>
  </si>
  <si>
    <t>Réparations</t>
  </si>
  <si>
    <t>007 002 Production de poisson et de produits à base de poisson</t>
  </si>
  <si>
    <t>032 001 Entretien et réparation des véhicules automobile</t>
  </si>
  <si>
    <t>Travail de grains et fabrication de produits amylacés</t>
  </si>
  <si>
    <t>032 002 Réparation de biens personnels et domestiques</t>
  </si>
  <si>
    <t>008 000 Travail de grains et fabrication de produits amylacés</t>
  </si>
  <si>
    <t>Hôtels, restaurant</t>
  </si>
  <si>
    <t>Transformation du café et du cacao</t>
  </si>
  <si>
    <t>033 001 Hôtels</t>
  </si>
  <si>
    <t>009 001 Transformation du café</t>
  </si>
  <si>
    <t>033 002 Bars et restaurants</t>
  </si>
  <si>
    <t>009 002 Transformation du cacao</t>
  </si>
  <si>
    <t>Transport et communication</t>
  </si>
  <si>
    <t>Industrie des oléagineux</t>
  </si>
  <si>
    <t>034 001 Transport ferroviaire</t>
  </si>
  <si>
    <t>010 001 Huiles brutes et tourteaux</t>
  </si>
  <si>
    <t>034 002 Transport Transports routière, transport par conduite</t>
  </si>
  <si>
    <t>010 002 Autres corps gras</t>
  </si>
  <si>
    <t xml:space="preserve">034 003 Transport par eau </t>
  </si>
  <si>
    <t>Boulangerie, Pâtisserie et pâtes alimentaires</t>
  </si>
  <si>
    <t>034 004 Transport  aérien</t>
  </si>
  <si>
    <t>011 001 Fabrication de pains, de biscuits et de pâtisseries</t>
  </si>
  <si>
    <t>034 005 Services annexes et auxiliaire de transport</t>
  </si>
  <si>
    <t>011 002 Fabrication de pâtes alimentaires</t>
  </si>
  <si>
    <t xml:space="preserve">Postes, télécommunication </t>
  </si>
  <si>
    <t>Industrie laitière</t>
  </si>
  <si>
    <t>035 001 Postes</t>
  </si>
  <si>
    <t>012 000 Industrie laitière</t>
  </si>
  <si>
    <t xml:space="preserve">035 002 Télécommunication </t>
  </si>
  <si>
    <t>Transformation de fruits et légumes et fabrication d’autres produits alimentaires</t>
  </si>
  <si>
    <t>Activités financières</t>
  </si>
  <si>
    <t>013 001 Fabrication de sucre</t>
  </si>
  <si>
    <t>036 001 Services d’intermédiation financière</t>
  </si>
  <si>
    <t>013 002 Fabrication de produit à base de fruits et de légumes</t>
  </si>
  <si>
    <t>036 002 Assurances (sauf sécurité sociale)</t>
  </si>
  <si>
    <t>013 003 Fabrication d’autres produits alimentaires</t>
  </si>
  <si>
    <t>036 003 Auxiliaire financiers et d’assurances</t>
  </si>
  <si>
    <t>Industrie des boissons</t>
  </si>
  <si>
    <t>Activités Immobilières</t>
  </si>
  <si>
    <t>014 001 Brasseries et malteries</t>
  </si>
  <si>
    <t>037 001 Locations de biens immobiliers</t>
  </si>
  <si>
    <t>014 002 Fabrication d’autres boissons alcoolisées</t>
  </si>
  <si>
    <t>037 002 Autres services immobiliers</t>
  </si>
  <si>
    <t>014 003 Fabrication de boissons non alcoolisées et d’eaux minérales</t>
  </si>
  <si>
    <t>Services aux entités</t>
  </si>
  <si>
    <t>Industrie de Tabac</t>
  </si>
  <si>
    <t>038 001 Locations sans opérateurs</t>
  </si>
  <si>
    <t>015 000  Industrie de Tabac</t>
  </si>
  <si>
    <t>038 002 Activités informatiques</t>
  </si>
  <si>
    <t>Industrie textiles et habillement</t>
  </si>
  <si>
    <t>038 003 Services rendus principalement aux entités</t>
  </si>
  <si>
    <t>016 001 Industrie textiles</t>
  </si>
  <si>
    <t>Administration publiques</t>
  </si>
  <si>
    <t>016 002 Industrie de l’habillement</t>
  </si>
  <si>
    <t>039 001 Administration générale, économique et sociale</t>
  </si>
  <si>
    <t>Industrie de cuir et de la chaussure</t>
  </si>
  <si>
    <t>039 002 Services de prérogatives publiques</t>
  </si>
  <si>
    <t>017 001 Fabrication de cuir et articles en cuir</t>
  </si>
  <si>
    <t>039 003 Sécurité sociale obligatoire</t>
  </si>
  <si>
    <t>017 002 Fabrication de chaussures</t>
  </si>
  <si>
    <t>Education</t>
  </si>
  <si>
    <t>Industrie du bois</t>
  </si>
  <si>
    <t xml:space="preserve">040 000 Education </t>
  </si>
  <si>
    <t>018 001 Sciage, rabotage et imprégnation du bois</t>
  </si>
  <si>
    <t>Santé et action sociale</t>
  </si>
  <si>
    <t>018 002 Fabrication de panneaux en bois</t>
  </si>
  <si>
    <t>041 001 Activités pour la santé des hommes</t>
  </si>
  <si>
    <t>018 003 Fabrication d’article en bois assemblés</t>
  </si>
  <si>
    <t>041 002 Activités vétérinaires</t>
  </si>
  <si>
    <t>Industrie du papier et cartons, de l’édition et de l’imprimerie</t>
  </si>
  <si>
    <t>041 003 Action sociale</t>
  </si>
  <si>
    <t>019 001 Industrie du papier et cartons</t>
  </si>
  <si>
    <t xml:space="preserve">Services collectifs, sociaux et personnels </t>
  </si>
  <si>
    <t>019 002 Edition, imprimerie, reproduction</t>
  </si>
  <si>
    <t xml:space="preserve">042 001 Assainissement, voirie et gestion des déchets </t>
  </si>
  <si>
    <t>Raffinage du pétrole</t>
  </si>
  <si>
    <t xml:space="preserve">042 002 Activités associatives </t>
  </si>
  <si>
    <t>020 000 Raffinage du pétrole</t>
  </si>
  <si>
    <t xml:space="preserve">042 003 Activités récréatives, culturelles et sportives </t>
  </si>
  <si>
    <t>Industrie chimique</t>
  </si>
  <si>
    <t>042 004 Services personnels</t>
  </si>
  <si>
    <t>021 001 Industrie chimique</t>
  </si>
  <si>
    <t>042 005 Services domestiques</t>
  </si>
  <si>
    <t>021 002 Fabrication de savons, de détergents et de produits d’entretien</t>
  </si>
  <si>
    <t>Services d’intermédiation financière indirectement mesuré</t>
  </si>
  <si>
    <t>021 003  Fabrication de produit agro-chimiques</t>
  </si>
  <si>
    <t xml:space="preserve">043 000 Services d’intermédiation financière indirectement mesuré </t>
  </si>
  <si>
    <t>021 004  Industries pharmaceutiques</t>
  </si>
  <si>
    <t>Correction territoriale</t>
  </si>
  <si>
    <t>021 005  Fabrication d’autres produits chimiques</t>
  </si>
  <si>
    <t xml:space="preserve">044 000 Correction territoriale </t>
  </si>
  <si>
    <r>
      <t xml:space="preserve"> </t>
    </r>
    <r>
      <rPr>
        <b/>
        <u/>
        <sz val="11"/>
        <color rgb="FF002060"/>
        <rFont val="Arial"/>
        <family val="2"/>
      </rPr>
      <t>NOTE</t>
    </r>
    <r>
      <rPr>
        <b/>
        <sz val="11"/>
        <color rgb="FF002060"/>
        <rFont val="Arial"/>
        <family val="2"/>
      </rPr>
      <t xml:space="preserve"> 18</t>
    </r>
  </si>
  <si>
    <t>DETTES FISCALES ET SOCIALES</t>
  </si>
  <si>
    <t>Personnel avances et acomptes</t>
  </si>
  <si>
    <t>Personnel rémunérations dues</t>
  </si>
  <si>
    <t>Autres personnel</t>
  </si>
  <si>
    <t>Caisse de sécurité sociale</t>
  </si>
  <si>
    <t>Caisse de retraite</t>
  </si>
  <si>
    <t>Autres organisme sociaux</t>
  </si>
  <si>
    <t>TOTAL DETTES SOCIALES</t>
  </si>
  <si>
    <t>Etat, impôts sur les bénéfices</t>
  </si>
  <si>
    <t>Etat, impôts et taxes</t>
  </si>
  <si>
    <t>Etat, TVA</t>
  </si>
  <si>
    <t>Etat, impôts retenus à la source</t>
  </si>
  <si>
    <t>Autres dettes Etat</t>
  </si>
  <si>
    <t>TOTAL DETTES FISCALES</t>
  </si>
  <si>
    <t>TOTAL DETTES SOCIALES ET FISCALES</t>
  </si>
  <si>
    <r>
      <t xml:space="preserve"> </t>
    </r>
    <r>
      <rPr>
        <i/>
        <sz val="9"/>
        <color rgb="FF000000"/>
        <rFont val="Arial"/>
        <family val="2"/>
      </rPr>
      <t>Commenter les dettes anciennes.</t>
    </r>
    <r>
      <rPr>
        <i/>
        <sz val="9"/>
        <color rgb="FF000000"/>
        <rFont val="Times New Roman"/>
        <family val="1"/>
      </rPr>
      <t xml:space="preserve"> </t>
    </r>
  </si>
  <si>
    <t xml:space="preserve">NB : Banques et intérêts courus  et Etablissement financiers intérêts courus figurent dans cette rubrique en négatif si le compte principal attaché est débiteur. </t>
  </si>
  <si>
    <r>
      <t>·</t>
    </r>
    <r>
      <rPr>
        <sz val="8"/>
        <color theme="1"/>
        <rFont val="Times New Roman"/>
        <family val="1"/>
      </rPr>
      <t xml:space="preserve">         </t>
    </r>
    <r>
      <rPr>
        <i/>
        <sz val="8"/>
        <color theme="1"/>
        <rFont val="Arial"/>
        <family val="2"/>
      </rPr>
      <t>Indiquer si possible le montant du capital à la constitution.</t>
    </r>
  </si>
  <si>
    <r>
      <t>·</t>
    </r>
    <r>
      <rPr>
        <sz val="8"/>
        <color theme="1"/>
        <rFont val="Times New Roman"/>
        <family val="1"/>
      </rPr>
      <t xml:space="preserve">         </t>
    </r>
    <r>
      <rPr>
        <i/>
        <sz val="8"/>
        <color theme="1"/>
        <rFont val="Arial"/>
        <family val="2"/>
      </rPr>
      <t>Indiquer si possible les dates des AGE et le montant du capital augmenté en cas d’augmentation de capital.</t>
    </r>
  </si>
  <si>
    <r>
      <t>·</t>
    </r>
    <r>
      <rPr>
        <sz val="8"/>
        <color theme="1"/>
        <rFont val="Times New Roman"/>
        <family val="1"/>
      </rPr>
      <t xml:space="preserve">         </t>
    </r>
    <r>
      <rPr>
        <i/>
        <sz val="8"/>
        <color theme="1"/>
        <rFont val="Arial"/>
        <family val="2"/>
      </rPr>
      <t>Indiquer si possible les dates des AGE et le montant du capital diminué en cas de réduction de capital.</t>
    </r>
  </si>
  <si>
    <r>
      <t>·</t>
    </r>
    <r>
      <rPr>
        <sz val="8"/>
        <color theme="1"/>
        <rFont val="Times New Roman"/>
        <family val="1"/>
      </rPr>
      <t xml:space="preserve">         </t>
    </r>
    <r>
      <rPr>
        <i/>
        <sz val="8"/>
        <color theme="1"/>
        <rFont val="Arial"/>
        <family val="2"/>
      </rPr>
      <t>Indiquer les avantages accordés aux actions de préférence.</t>
    </r>
  </si>
  <si>
    <r>
      <t>·</t>
    </r>
    <r>
      <rPr>
        <sz val="8"/>
        <color theme="1"/>
        <rFont val="Times New Roman"/>
        <family val="1"/>
      </rPr>
      <t xml:space="preserve">         </t>
    </r>
    <r>
      <rPr>
        <i/>
        <sz val="8"/>
        <color theme="1"/>
        <rFont val="Arial"/>
        <family val="2"/>
      </rPr>
      <t>Apporteurs, capital non appelé : indiquer le délai restant pour appeler le capital.</t>
    </r>
  </si>
  <si>
    <t>Nature des actions ou parts (ordinaires ou préférences)</t>
  </si>
  <si>
    <r>
      <t xml:space="preserve"> </t>
    </r>
    <r>
      <rPr>
        <vertAlign val="superscript"/>
        <sz val="10"/>
        <color rgb="FF000000"/>
        <rFont val="Arial"/>
        <family val="2"/>
      </rPr>
      <t>(1)</t>
    </r>
    <r>
      <rPr>
        <sz val="10"/>
        <color rgb="FF000000"/>
        <rFont val="Arial"/>
        <family val="2"/>
      </rPr>
      <t xml:space="preserve"> Le  cas  échéant,  une  rubrique  "Autres  fonds  propres"  (montant des émissions de titres participatifs, avances conditionnées, ...) sur une ligne séparée est  intercalée  entre  les  rubriques "TOTAL CAPITAUX PROPRES ET RESSOURCES ASSIMILEES" et  "emprunts et dettes financières" si le montant des autres fonds propres est significatif. </t>
    </r>
  </si>
  <si>
    <r>
      <t xml:space="preserve">Commentaires </t>
    </r>
    <r>
      <rPr>
        <sz val="10"/>
        <color rgb="FF000000"/>
        <rFont val="Arial"/>
        <family val="2"/>
      </rPr>
      <t xml:space="preserve">:  </t>
    </r>
  </si>
  <si>
    <r>
      <t xml:space="preserve">* </t>
    </r>
    <r>
      <rPr>
        <i/>
        <sz val="10"/>
        <color rgb="FF000000"/>
        <rFont val="Arial"/>
        <family val="2"/>
      </rPr>
      <t>Justifier l'inscription de ces dettes dans une rubrique spécifique du passif du bilan "autres fonds propres" (faible probabilité de remboursement, absence d’échéancier…;</t>
    </r>
  </si>
  <si>
    <t>NOTES</t>
  </si>
  <si>
    <t>INTITULES</t>
  </si>
  <si>
    <t>NOTE 1</t>
  </si>
  <si>
    <t>DETTES GARANTIES PAR DES SURETTES REELLES</t>
  </si>
  <si>
    <t>NOTE 2</t>
  </si>
  <si>
    <t>INFORMATIONS OBLIGTOIRES</t>
  </si>
  <si>
    <t>NOTE 3A</t>
  </si>
  <si>
    <t>IMMOBILISATION BRUTE</t>
  </si>
  <si>
    <t>NOTE 3B</t>
  </si>
  <si>
    <t>NOTE 3C</t>
  </si>
  <si>
    <t>IMMOBILISATIONS : AMORTISSEMENTS</t>
  </si>
  <si>
    <t>NOTE 3D</t>
  </si>
  <si>
    <t>IMMOBLISATIONS : PLUS-VALUES ET MOINS VALUE DE CESSION</t>
  </si>
  <si>
    <t>NOTE 3E</t>
  </si>
  <si>
    <t>INFORMATIONS SUR LES REEVALUATIONS EFFECTUEES PAR L’ENTITE</t>
  </si>
  <si>
    <t>NOTE 3F</t>
  </si>
  <si>
    <t>TABLEAU D’ETALEMENT DES CHARGES IMMOBILISEES</t>
  </si>
  <si>
    <t>NOTE 4</t>
  </si>
  <si>
    <t>NOTE 5</t>
  </si>
  <si>
    <t>NOTE 6</t>
  </si>
  <si>
    <t>STOCKS ET ENCOURS</t>
  </si>
  <si>
    <t>NOTE 7</t>
  </si>
  <si>
    <t>NOTE 8</t>
  </si>
  <si>
    <t>NOTE 9</t>
  </si>
  <si>
    <t>NOTE 10</t>
  </si>
  <si>
    <t>VALEUR A ENCAISSER</t>
  </si>
  <si>
    <t>NOTE 11</t>
  </si>
  <si>
    <t>NOTE 12</t>
  </si>
  <si>
    <t>ECARTS DE CONVERSION</t>
  </si>
  <si>
    <t>NOTE 13</t>
  </si>
  <si>
    <t xml:space="preserve">CAPITAL : VALEUR NOMINALE DES ACTIONS OU PARTS  </t>
  </si>
  <si>
    <t>NOTE 14</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</si>
  <si>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</si>
  <si>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</si>
  <si>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</si>
  <si>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</si>
  <si>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</si>
  <si>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</si>
  <si>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</si>
  <si>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</si>
  <si>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</si>
  <si>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</si>
  <si>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</si>
  <si>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</si>
  <si>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</si>
  <si>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NOTE 19</t>
  </si>
  <si>
    <t>AUTRES DETTES ET PROVISIONS POUR RISQUES A COURT TERME</t>
  </si>
  <si>
    <t>NOTE 20</t>
  </si>
  <si>
    <t>BANQUES, CREDITS D’ESCOMPTE ET DE TRESORERIE</t>
  </si>
  <si>
    <t>NOTE 21</t>
  </si>
  <si>
    <t>CHIFFRE D’AFFAIRES ET AUTRES PRODUITS</t>
  </si>
  <si>
    <t>NOTE 22</t>
  </si>
  <si>
    <t>NOTE 23</t>
  </si>
  <si>
    <t>NOTE 24</t>
  </si>
  <si>
    <t>SERVICES EXTERIEURS</t>
  </si>
  <si>
    <t>NOTE 25</t>
  </si>
  <si>
    <t>IMPOTS ET TAXES</t>
  </si>
  <si>
    <t>NOTE 26</t>
  </si>
  <si>
    <t>AUTRES CHARGES</t>
  </si>
  <si>
    <t>NOTE 27A</t>
  </si>
  <si>
    <t>CHARGES DE PERSONNEL</t>
  </si>
  <si>
    <t>NOTE 27B</t>
  </si>
  <si>
    <t>NOTE 28</t>
  </si>
  <si>
    <t>PROVISIONS  ET DEPRECIATIONS INSCRITES AU BILAN</t>
  </si>
  <si>
    <t>NOTE 29</t>
  </si>
  <si>
    <t>CHARGES ET REVENUS FINANCIERES</t>
  </si>
  <si>
    <t>NOTE 30</t>
  </si>
  <si>
    <t>AUTRES CHARGES ET PRODUITS HAO</t>
  </si>
  <si>
    <t>NOTE 31</t>
  </si>
  <si>
    <t>REPARTITION DU RESULTAT ET AUTRES ELEMENTS CARACTERISTIQUES DES CINQ DERNIERES EXERCICES</t>
  </si>
  <si>
    <t>NOTE 32</t>
  </si>
  <si>
    <t>NOTE 33</t>
  </si>
  <si>
    <t>ACHATS DESTINES A LA PRODUCTION</t>
  </si>
  <si>
    <t>NOTE 34</t>
  </si>
  <si>
    <t>FICHE DE SYNTHESE DES PRINCIPAUX INDICATEURS FINANCIERS</t>
  </si>
  <si>
    <t>NOTE 35</t>
  </si>
  <si>
    <t>LISTE DES INFORMATIONS SOCIALES, ENVIRONNEMENTALES ET SOCIETALES A FOURNIR</t>
  </si>
  <si>
    <t>NOTE 36</t>
  </si>
  <si>
    <t>TABLES DES CODES</t>
  </si>
  <si>
    <t>N/A</t>
  </si>
  <si>
    <t>A : Applicable                        N/A : Non Applicable.</t>
  </si>
  <si>
    <t>Dettes à plus d'un an et à  deux ans au plus</t>
  </si>
  <si>
    <t xml:space="preserve">Dettes à plus d'un an et à deux ans au plus </t>
  </si>
  <si>
    <t xml:space="preserve">Variation en %  </t>
  </si>
  <si>
    <r>
      <rPr>
        <b/>
        <u/>
        <sz val="11"/>
        <color rgb="FF002060"/>
        <rFont val="Arial"/>
        <family val="2"/>
      </rPr>
      <t>NOTE 3A</t>
    </r>
    <r>
      <rPr>
        <b/>
        <sz val="11"/>
        <color rgb="FF002060"/>
        <rFont val="Arial"/>
        <family val="2"/>
      </rPr>
      <t xml:space="preserve">    </t>
    </r>
  </si>
  <si>
    <t>FINANCIERES</t>
  </si>
  <si>
    <t>(1)   Y compris l’exercice dont les états financiers sont soumis à l’approbation de l’Assemblée</t>
  </si>
  <si>
    <t>(2)   Indication, en cas de libération partielle du capital, du montant du capital non appelé</t>
  </si>
  <si>
    <t>(3)   Les éléments de cette rubrique sont ceux figurant au compte de résultat</t>
  </si>
  <si>
    <t>(4)   Le résultat, lorsqu’il est  négatif, doit être mis entre parenthèses</t>
  </si>
  <si>
    <t>(5)   L’exercice N correspond au dividende proposé du dernier exercice</t>
  </si>
  <si>
    <r>
      <t xml:space="preserve">                                                                                                     EXERCICES CONCERNES (</t>
    </r>
    <r>
      <rPr>
        <b/>
        <vertAlign val="superscript"/>
        <sz val="10"/>
        <color rgb="FFFFFFFF"/>
        <rFont val="Arial"/>
        <family val="2"/>
      </rPr>
      <t>1</t>
    </r>
    <r>
      <rPr>
        <b/>
        <sz val="10"/>
        <color rgb="FFFFFFFF"/>
        <rFont val="Arial"/>
        <family val="2"/>
      </rPr>
      <t>)</t>
    </r>
  </si>
  <si>
    <t>PRODUCTION VENDUE DANS LE PAYS</t>
  </si>
  <si>
    <t>PRODUCTION VENDUE DANS LES AUTRES PAYS DE L’OHADA </t>
  </si>
  <si>
    <t>STOCK CLOTURE  DE L’EXERCICE</t>
  </si>
  <si>
    <t>PRODUCTION VENDUE HORS OHADA</t>
  </si>
  <si>
    <t>= ENDETTEMENT NET</t>
  </si>
  <si>
    <t xml:space="preserve">TRESORERIE NETTE (5) = (1) - (4)    </t>
  </si>
  <si>
    <t xml:space="preserve">  = FONDS DE ROULEMENT (1)    </t>
  </si>
  <si>
    <r>
      <t xml:space="preserve"> </t>
    </r>
    <r>
      <rPr>
        <b/>
        <sz val="9"/>
        <color theme="1"/>
        <rFont val="Calibri"/>
        <family val="2"/>
        <scheme val="minor"/>
      </rPr>
      <t>Dettes financières*</t>
    </r>
    <r>
      <rPr>
        <sz val="9"/>
        <color theme="1"/>
        <rFont val="Calibri"/>
        <family val="2"/>
        <scheme val="minor"/>
      </rPr>
      <t xml:space="preserve"> = emprunts et dettes financières diverses + dettes de location acquisition.</t>
    </r>
  </si>
  <si>
    <r>
      <rPr>
        <b/>
        <sz val="10"/>
        <color theme="1"/>
        <rFont val="Arial"/>
        <family val="2"/>
      </rPr>
      <t>(1)</t>
    </r>
    <r>
      <rPr>
        <b/>
        <sz val="7"/>
        <color theme="1"/>
        <rFont val="Times New Roman"/>
        <family val="1"/>
      </rPr>
      <t>   </t>
    </r>
    <r>
      <rPr>
        <sz val="7"/>
        <color theme="1"/>
        <rFont val="Times New Roman"/>
        <family val="1"/>
      </rPr>
      <t xml:space="preserve">  </t>
    </r>
    <r>
      <rPr>
        <sz val="10"/>
        <color theme="1"/>
        <rFont val="Arial"/>
        <family val="2"/>
      </rPr>
      <t>Remplacer le premier 0 par 1 si l’entité bénéficie d’un agrément prioritaire</t>
    </r>
  </si>
  <si>
    <r>
      <rPr>
        <b/>
        <sz val="10"/>
        <color theme="1"/>
        <rFont val="Arial"/>
        <family val="2"/>
      </rPr>
      <t>(2)</t>
    </r>
    <r>
      <rPr>
        <sz val="7"/>
        <color theme="1"/>
        <rFont val="Times New Roman"/>
        <family val="1"/>
      </rPr>
      <t xml:space="preserve">     </t>
    </r>
    <r>
      <rPr>
        <sz val="10"/>
        <color theme="1"/>
        <rFont val="Arial"/>
        <family val="2"/>
      </rPr>
      <t>Bénin = 01 ; Burkina = 02 ; Côte d’ivoire = 03 ; Guinée Bissau = 04 ; Mali = 05 ; Niger = 06 ; Sénégal = 07 ; Togo = 08 ; Cameroun = 09 ; Congo = 10 ; Gabon = 11 ; République Centrafricaine = 12 ; Tchad = 13 ; Comores = 14 ; Guinée = 15 ; Guinée Equatoriale = 16 ; Congo RDC = 17.</t>
    </r>
  </si>
  <si>
    <r>
      <t xml:space="preserve">024 002 </t>
    </r>
    <r>
      <rPr>
        <b/>
        <sz val="6"/>
        <color theme="1"/>
        <rFont val="Arial"/>
        <family val="2"/>
      </rPr>
      <t>Travail des métaux</t>
    </r>
  </si>
  <si>
    <r>
      <t>028 002</t>
    </r>
    <r>
      <rPr>
        <b/>
        <sz val="6"/>
        <color theme="1"/>
        <rFont val="Arial"/>
        <family val="2"/>
      </rPr>
      <t xml:space="preserve">  </t>
    </r>
    <r>
      <rPr>
        <sz val="6"/>
        <color theme="1"/>
        <rFont val="Arial"/>
        <family val="2"/>
      </rPr>
      <t>Industrie diverses</t>
    </r>
  </si>
  <si>
    <r>
      <t>029 001</t>
    </r>
    <r>
      <rPr>
        <b/>
        <sz val="6"/>
        <color theme="1"/>
        <rFont val="Arial"/>
        <family val="2"/>
      </rPr>
      <t xml:space="preserve">  </t>
    </r>
    <r>
      <rPr>
        <sz val="6"/>
        <color theme="1"/>
        <rFont val="Arial"/>
        <family val="2"/>
      </rPr>
      <t>Production, transport et distribution d’électricité</t>
    </r>
  </si>
  <si>
    <r>
      <t>029 002</t>
    </r>
    <r>
      <rPr>
        <b/>
        <sz val="6"/>
        <color theme="1"/>
        <rFont val="Arial"/>
        <family val="2"/>
      </rPr>
      <t xml:space="preserve">  </t>
    </r>
    <r>
      <rPr>
        <sz val="6"/>
        <color theme="1"/>
        <rFont val="Arial"/>
        <family val="2"/>
      </rPr>
      <t>Captage, épuration et distribution d’eau</t>
    </r>
  </si>
  <si>
    <t>Nombre d'exemplaires déposés</t>
  </si>
  <si>
    <t>Signature de l'agent et cachet du service</t>
  </si>
  <si>
    <t>Nombre de pages déposées par exemplaire</t>
  </si>
  <si>
    <t>Notes annexées</t>
  </si>
  <si>
    <t>Nom de l'agent de la DGI ayant réceptionné le dépôt</t>
  </si>
  <si>
    <t>Tableau des flux et trésorerie</t>
  </si>
  <si>
    <t>Compte de résultat</t>
  </si>
  <si>
    <t>Bilan</t>
  </si>
  <si>
    <t>Fiche d'identification et renseignements divers</t>
  </si>
  <si>
    <t>Date de dépôt</t>
  </si>
  <si>
    <t>Réservé à la Direction Générale des Impôts</t>
  </si>
  <si>
    <t>Documents déposés</t>
  </si>
  <si>
    <t>SYSTEME NORMAL</t>
  </si>
  <si>
    <t xml:space="preserve">      </t>
  </si>
  <si>
    <t xml:space="preserve">                                                                                                                                                                                                                     </t>
  </si>
  <si>
    <t xml:space="preserve">       (ou nom et prénoms de l'exploitant)</t>
  </si>
  <si>
    <r>
      <t xml:space="preserve">     </t>
    </r>
    <r>
      <rPr>
        <b/>
        <u/>
        <sz val="11"/>
        <rFont val="Arial"/>
        <family val="2"/>
      </rPr>
      <t xml:space="preserve">                   </t>
    </r>
  </si>
  <si>
    <t>DESIGNATION DE L'ENTITE</t>
  </si>
  <si>
    <t>SYSTÈME COMPTABLE OHADA(SYSCOHADA)</t>
  </si>
  <si>
    <t xml:space="preserve">ETATS FINANCIERS NORMALISES </t>
  </si>
  <si>
    <r>
      <t xml:space="preserve">      </t>
    </r>
    <r>
      <rPr>
        <b/>
        <u/>
        <sz val="11"/>
        <rFont val="Arial"/>
        <family val="2"/>
      </rPr>
      <t xml:space="preserve">                                                </t>
    </r>
  </si>
  <si>
    <t>Signature</t>
  </si>
  <si>
    <t>Date de signature</t>
  </si>
  <si>
    <t>Nom du sigantaire des états financiers</t>
  </si>
  <si>
    <t>Directeur général</t>
  </si>
  <si>
    <t>Numéro de compte</t>
  </si>
  <si>
    <t>Banque</t>
  </si>
  <si>
    <t>Etats financiers approuvés par l'Assemeblée Générale (cocher la case)</t>
  </si>
  <si>
    <t>Oui</t>
  </si>
  <si>
    <t>Non</t>
  </si>
  <si>
    <t>Visa de l'Expert comptable agrée</t>
  </si>
  <si>
    <t xml:space="preserve">DES EXPERTS COMPTABLES ET DES COMPTABLES AGREES ayant établi les états financiers </t>
  </si>
  <si>
    <t xml:space="preserve">Nom, adresse et téléhone du cabinet comptable ou du professionnel INSCRIT A L'ORDRE NATIONAL </t>
  </si>
  <si>
    <t>Nom du professionnel salarié de l'entité ou</t>
  </si>
  <si>
    <t xml:space="preserve">Nom, adresse et qualité de la personne à contacter en cas de demande d'informations complémentaires </t>
  </si>
  <si>
    <t>Désignation précise de l'activité principale exercée par l'entité</t>
  </si>
  <si>
    <t>ZI</t>
  </si>
  <si>
    <t>Adresse géographique complète (Immeuble, rue, quartier, ville, pays)</t>
  </si>
  <si>
    <t>Ville</t>
  </si>
  <si>
    <t>Bote postale</t>
  </si>
  <si>
    <t>Code</t>
  </si>
  <si>
    <t>email</t>
  </si>
  <si>
    <t>N° de téléphone</t>
  </si>
  <si>
    <t>Sigle</t>
  </si>
  <si>
    <t>Désignation de l'entité</t>
  </si>
  <si>
    <t>Code activité principale</t>
  </si>
  <si>
    <t>N° Code Importateur</t>
  </si>
  <si>
    <t>N° de caisse sociale</t>
  </si>
  <si>
    <t>N° Répertoire des entités</t>
  </si>
  <si>
    <t>N° Registre du commerce</t>
  </si>
  <si>
    <t>Greffe</t>
  </si>
  <si>
    <t>DUREE EXERCICE PRECEDENT EN MOIS:</t>
  </si>
  <si>
    <t>EXERCICE PRECEDENT CLOS LE:</t>
  </si>
  <si>
    <t>DATE D'ARRETE EFFECTIF DES COMPTES</t>
  </si>
  <si>
    <t>AU</t>
  </si>
  <si>
    <t>DU:</t>
  </si>
  <si>
    <t>EXERCICE COMPTABLE:</t>
  </si>
  <si>
    <t>N° d'identification fiscale :</t>
  </si>
  <si>
    <t>Adresse :</t>
  </si>
  <si>
    <t>Sigle usuel :</t>
  </si>
  <si>
    <t>Dénomination sociale de l'entité:</t>
  </si>
  <si>
    <r>
      <t>(</t>
    </r>
    <r>
      <rPr>
        <vertAlign val="superscript"/>
        <sz val="8"/>
        <rFont val="Arial"/>
        <family val="2"/>
      </rPr>
      <t>2</t>
    </r>
    <r>
      <rPr>
        <sz val="8"/>
        <rFont val="Arial"/>
        <family val="2"/>
      </rPr>
      <t>) Lister de manière précise les activités dans l'ordre décroissant du C. A. HT, ou de la valeur ajoutée (V. A.).</t>
    </r>
  </si>
  <si>
    <r>
      <t>(</t>
    </r>
    <r>
      <rPr>
        <vertAlign val="superscript"/>
        <sz val="8"/>
        <rFont val="Arial"/>
        <family val="2"/>
      </rPr>
      <t>1</t>
    </r>
    <r>
      <rPr>
        <sz val="8"/>
        <rFont val="Arial"/>
        <family val="2"/>
      </rPr>
      <t>) NOTE 36</t>
    </r>
  </si>
  <si>
    <t xml:space="preserve"> TOTAL</t>
  </si>
  <si>
    <t>Divers</t>
  </si>
  <si>
    <t>HT</t>
  </si>
  <si>
    <t xml:space="preserve">dans le CA </t>
  </si>
  <si>
    <t xml:space="preserve">(CA HT) </t>
  </si>
  <si>
    <r>
      <t>d'activité (</t>
    </r>
    <r>
      <rPr>
        <vertAlign val="superscript"/>
        <sz val="10"/>
        <rFont val="Arial"/>
        <family val="2"/>
      </rPr>
      <t>1</t>
    </r>
    <r>
      <rPr>
        <sz val="10"/>
        <rFont val="Arial"/>
        <family val="2"/>
      </rPr>
      <t>)</t>
    </r>
  </si>
  <si>
    <t>% activité</t>
  </si>
  <si>
    <t xml:space="preserve">Chiffre d'affaires HT </t>
  </si>
  <si>
    <t>Code nomenclature</t>
  </si>
  <si>
    <r>
      <t>Désignation de l'activité (</t>
    </r>
    <r>
      <rPr>
        <vertAlign val="superscript"/>
        <sz val="10"/>
        <rFont val="Arial"/>
        <family val="2"/>
      </rPr>
      <t>2</t>
    </r>
    <r>
      <rPr>
        <sz val="10"/>
        <rFont val="Arial"/>
        <family val="2"/>
      </rPr>
      <t>)</t>
    </r>
  </si>
  <si>
    <t>ACTIVITE DE L'ENTITE</t>
  </si>
  <si>
    <t>Première année d'exercice dans le pays :</t>
  </si>
  <si>
    <t>ZP</t>
  </si>
  <si>
    <t>lesquels une comptabilité distincte est tenue :</t>
  </si>
  <si>
    <t xml:space="preserve">Nombre d'établissements hors du pays pour </t>
  </si>
  <si>
    <t>ZO</t>
  </si>
  <si>
    <t>Nombre d'établissements dans le pays :</t>
  </si>
  <si>
    <t>ZN</t>
  </si>
  <si>
    <t xml:space="preserve"> Entité sous contrôle privé étranger</t>
  </si>
  <si>
    <t>ZS</t>
  </si>
  <si>
    <r>
      <t>Pays du siège social (</t>
    </r>
    <r>
      <rPr>
        <vertAlign val="superscript"/>
        <sz val="9"/>
        <rFont val="Arial"/>
        <family val="2"/>
      </rPr>
      <t>1</t>
    </r>
    <r>
      <rPr>
        <sz val="9"/>
        <rFont val="Arial"/>
        <family val="2"/>
      </rPr>
      <t>) :</t>
    </r>
  </si>
  <si>
    <t>ZM</t>
  </si>
  <si>
    <t xml:space="preserve"> Entité sous contrôle privé national</t>
  </si>
  <si>
    <t>ZR</t>
  </si>
  <si>
    <r>
      <t>Régime fiscal (</t>
    </r>
    <r>
      <rPr>
        <vertAlign val="superscript"/>
        <sz val="9"/>
        <rFont val="Arial"/>
        <family val="2"/>
      </rPr>
      <t>1</t>
    </r>
    <r>
      <rPr>
        <sz val="9"/>
        <rFont val="Arial"/>
        <family val="2"/>
      </rPr>
      <t>) :</t>
    </r>
  </si>
  <si>
    <t>ZL</t>
  </si>
  <si>
    <t xml:space="preserve"> Entité sous contrôle public</t>
  </si>
  <si>
    <t>ZQ</t>
  </si>
  <si>
    <r>
      <t>Forme juridique (</t>
    </r>
    <r>
      <rPr>
        <vertAlign val="superscript"/>
        <sz val="9"/>
        <rFont val="Arial"/>
        <family val="2"/>
      </rPr>
      <t>1</t>
    </r>
    <r>
      <rPr>
        <sz val="9"/>
        <rFont val="Arial"/>
        <family val="2"/>
      </rPr>
      <t>) :</t>
    </r>
  </si>
  <si>
    <t>ZK</t>
  </si>
  <si>
    <t>Contrôle de l'entité (cocher la case)</t>
  </si>
  <si>
    <t xml:space="preserve">Numéro d'identification : </t>
  </si>
  <si>
    <t>Adresse (BP, ville, pays)</t>
  </si>
  <si>
    <t>Qualité</t>
  </si>
  <si>
    <t>Prénoms</t>
  </si>
  <si>
    <t>Nom</t>
  </si>
  <si>
    <t>MEMBRES DU CONSEIL D'ADMINISTRATION</t>
  </si>
  <si>
    <r>
      <t>(</t>
    </r>
    <r>
      <rPr>
        <vertAlign val="superscript"/>
        <sz val="8"/>
        <rFont val="Arial"/>
        <family val="2"/>
      </rPr>
      <t>1</t>
    </r>
    <r>
      <rPr>
        <sz val="8"/>
        <rFont val="Arial"/>
        <family val="2"/>
      </rPr>
      <t>) Dirigeants = Président Directeur Général, Directeur Général, Administrateur Général, Gérant, Autres.</t>
    </r>
  </si>
  <si>
    <t>N° identification fiscale</t>
  </si>
  <si>
    <r>
      <t>DIRIGEANTS (</t>
    </r>
    <r>
      <rPr>
        <b/>
        <vertAlign val="superscript"/>
        <sz val="11"/>
        <rFont val="Arial"/>
        <family val="2"/>
      </rPr>
      <t>1</t>
    </r>
    <r>
      <rPr>
        <b/>
        <sz val="11"/>
        <rFont val="Arial"/>
        <family val="2"/>
      </rPr>
      <t>)</t>
    </r>
  </si>
  <si>
    <t>REPUBLIQUE DU BENIN</t>
  </si>
  <si>
    <t>EXERCICE CLOS LE :</t>
  </si>
  <si>
    <t>X</t>
  </si>
  <si>
    <t>DIRECTION :</t>
  </si>
  <si>
    <t xml:space="preserve">Désignation entité : </t>
  </si>
  <si>
    <r>
      <t xml:space="preserve">Production stockée (ou déstockage)  </t>
    </r>
    <r>
      <rPr>
        <sz val="9"/>
        <color rgb="FF000000"/>
        <rFont val="Arial"/>
        <family val="2"/>
      </rPr>
      <t xml:space="preserve">  </t>
    </r>
  </si>
  <si>
    <r>
      <t xml:space="preserve">Ventes de produits fabriqués                                                                 </t>
    </r>
    <r>
      <rPr>
        <b/>
        <sz val="9"/>
        <color rgb="FF0D0D0D"/>
        <rFont val="Arial"/>
        <family val="2"/>
      </rPr>
      <t xml:space="preserve">B </t>
    </r>
  </si>
  <si>
    <r>
      <t xml:space="preserve">Travaux, services vendus                                                                        </t>
    </r>
    <r>
      <rPr>
        <b/>
        <sz val="9"/>
        <color rgb="FF0D0D0D"/>
        <rFont val="Arial"/>
        <family val="2"/>
      </rPr>
      <t xml:space="preserve">C </t>
    </r>
  </si>
  <si>
    <r>
      <t xml:space="preserve">Produits accessoires                                                                               </t>
    </r>
    <r>
      <rPr>
        <b/>
        <sz val="9"/>
        <color rgb="FF0D0D0D"/>
        <rFont val="Arial"/>
        <family val="2"/>
      </rPr>
      <t xml:space="preserve">D </t>
    </r>
  </si>
  <si>
    <r>
      <t>A - DECLARATION DE CONFORMITE AU SYSCOHADA</t>
    </r>
    <r>
      <rPr>
        <b/>
        <sz val="11"/>
        <color rgb="FF000000"/>
        <rFont val="Arial"/>
        <family val="2"/>
      </rPr>
      <t xml:space="preserve"> </t>
    </r>
  </si>
  <si>
    <r>
      <t>B - REGLES ET METHODES COMPTABLES</t>
    </r>
    <r>
      <rPr>
        <b/>
        <sz val="11"/>
        <color rgb="FF000000"/>
        <rFont val="Arial"/>
        <family val="2"/>
      </rPr>
      <t xml:space="preserve"> </t>
    </r>
  </si>
  <si>
    <r>
      <t>C- DEROGATION AUX POSTULATS ET CONVENTIONS COMPTABLES</t>
    </r>
    <r>
      <rPr>
        <b/>
        <sz val="11"/>
        <color rgb="FF0D0D0D"/>
        <rFont val="Arial"/>
        <family val="2"/>
      </rPr>
      <t xml:space="preserve"> </t>
    </r>
  </si>
  <si>
    <r>
      <t>RESULTAT ET AU TABLEAU DES FLUX DE TRESORERIE</t>
    </r>
    <r>
      <rPr>
        <b/>
        <sz val="11"/>
        <color rgb="FF000000"/>
        <rFont val="Arial"/>
        <family val="2"/>
      </rPr>
      <t xml:space="preserve"> </t>
    </r>
  </si>
  <si>
    <t>025 002 Fabrication de machines de bureaux</t>
  </si>
  <si>
    <t xml:space="preserve"> EFFECTIF ET MASSE SALARIALE</t>
  </si>
  <si>
    <t xml:space="preserve">                                     </t>
  </si>
  <si>
    <r>
      <t>Avantages sociaux versés au cours de l’exercice (</t>
    </r>
    <r>
      <rPr>
        <vertAlign val="superscript"/>
        <sz val="10"/>
        <color theme="1"/>
        <rFont val="Arial"/>
        <family val="2"/>
      </rPr>
      <t>8</t>
    </r>
    <r>
      <rPr>
        <sz val="10"/>
        <color theme="1"/>
        <rFont val="Arial"/>
        <family val="2"/>
      </rPr>
      <t>)  [Sécurité sociale, œuvres sociales]</t>
    </r>
  </si>
  <si>
    <t>ENGAGEMENTS DE RETRAITE ET AVANTAGES ASSIMILEES (METHODE ACTUARIELLE)</t>
  </si>
  <si>
    <r>
      <t xml:space="preserve">Ventes de marchandises                                                                         </t>
    </r>
    <r>
      <rPr>
        <b/>
        <sz val="9"/>
        <color rgb="FF0D0D0D"/>
        <rFont val="Arial"/>
        <family val="2"/>
      </rPr>
      <t xml:space="preserve">A </t>
    </r>
  </si>
  <si>
    <r>
      <t>Commentaire</t>
    </r>
    <r>
      <rPr>
        <sz val="9"/>
        <color theme="1"/>
        <rFont val="Arial"/>
        <family val="2"/>
      </rPr>
      <t> :</t>
    </r>
  </si>
  <si>
    <t xml:space="preserve">Fournisseurs dettes en compte  (hors groupe) </t>
  </si>
  <si>
    <t xml:space="preserve">Fournisseurs effets à payer  (hors groupe) </t>
  </si>
  <si>
    <t>D’EXPLOITATION</t>
  </si>
  <si>
    <r>
      <t xml:space="preserve"> SIGLE USUEL : </t>
    </r>
    <r>
      <rPr>
        <b/>
        <sz val="11"/>
        <rFont val="Arial"/>
        <family val="2"/>
      </rPr>
      <t xml:space="preserve"> </t>
    </r>
    <r>
      <rPr>
        <sz val="11"/>
        <rFont val="Arial"/>
        <family val="2"/>
      </rPr>
      <t xml:space="preserve">                                           </t>
    </r>
  </si>
  <si>
    <t xml:space="preserve">ADRESSE COMPLETE : </t>
  </si>
  <si>
    <r>
      <t xml:space="preserve">N° D'IDENTIFICATION FISCALE :      </t>
    </r>
    <r>
      <rPr>
        <b/>
        <sz val="11"/>
        <rFont val="Arial"/>
        <family val="2"/>
      </rPr>
      <t xml:space="preserve"> </t>
    </r>
  </si>
  <si>
    <t xml:space="preserve">1er janvier </t>
  </si>
  <si>
    <t xml:space="preserve">31 décembre  </t>
  </si>
  <si>
    <t>BILAN AU 31 DECEMBRE</t>
  </si>
  <si>
    <t xml:space="preserve">BILAN AU 31 DECEMBRE </t>
  </si>
  <si>
    <t>N</t>
  </si>
  <si>
    <t>N-2</t>
  </si>
  <si>
    <t>N-3</t>
  </si>
  <si>
    <t>N-4</t>
  </si>
  <si>
    <r>
      <t>Exercice clos le</t>
    </r>
    <r>
      <rPr>
        <b/>
        <sz val="10"/>
        <rFont val="Arial"/>
        <family val="2"/>
      </rPr>
      <t xml:space="preserve"> :</t>
    </r>
  </si>
  <si>
    <r>
      <rPr>
        <sz val="11"/>
        <rFont val="Arial"/>
        <family val="2"/>
      </rPr>
      <t xml:space="preserve"> DENOMINATION SOCIALE :</t>
    </r>
    <r>
      <rPr>
        <b/>
        <sz val="11"/>
        <rFont val="Arial"/>
        <family val="2"/>
      </rPr>
      <t xml:space="preserve"> </t>
    </r>
  </si>
  <si>
    <t>TABLEAU DES FLUX DE TRESORERIE</t>
  </si>
  <si>
    <t xml:space="preserve">Cessions ou remboursements </t>
  </si>
  <si>
    <t>Durée</t>
  </si>
  <si>
    <t xml:space="preserve">COMPTE DE RESULTAT </t>
  </si>
  <si>
    <t>Variation du BF lié aux activités opérationnelles  (FB+FC+FD-FE) :</t>
  </si>
  <si>
    <t>TOTAL NET DE DEPRECIATION</t>
  </si>
  <si>
    <t xml:space="preserve">Compte d'affacturage et de titrisation </t>
  </si>
  <si>
    <t>RUBRIQUE</t>
  </si>
  <si>
    <t>12. Dépréciations et provisions pour risques financiers à court terme</t>
  </si>
  <si>
    <t xml:space="preserve">11. Dépréciations et provisions pour risques d’exploitation à court terme </t>
  </si>
  <si>
    <t>TOTAL CHARGES POUR DEPRECIATIONS ET PROVISIONS A COURT TERME</t>
  </si>
  <si>
    <t>Intérêts dans loyers de locations financement</t>
  </si>
  <si>
    <t>Contrôle: Trésorerie actif N - Trésorerie passif N = 125 136</t>
  </si>
  <si>
    <r>
      <rPr>
        <sz val="11"/>
        <rFont val="Arial"/>
        <family val="2"/>
      </rPr>
      <t xml:space="preserve">CENTRE DE DEPOT DE  : </t>
    </r>
    <r>
      <rPr>
        <b/>
        <sz val="11"/>
        <rFont val="Arial"/>
        <family val="2"/>
      </rPr>
      <t xml:space="preserve">        CIME ATL</t>
    </r>
  </si>
  <si>
    <t>31/12/2025</t>
  </si>
  <si>
    <t>31/12/2024</t>
  </si>
  <si>
    <t>ABC</t>
  </si>
  <si>
    <t>RB/ABC/18 B 2310</t>
  </si>
  <si>
    <t>ILOT 1842 M/KPACOSSOU CODJO TANKPE AB-CLAVI</t>
  </si>
  <si>
    <t>import-export</t>
  </si>
  <si>
    <t>AKODA ALIDOU ASSOCIER GERANT Tél 61218199</t>
  </si>
  <si>
    <t>Ernest Cyrille A. SOUROU</t>
  </si>
  <si>
    <t>BIIC</t>
  </si>
  <si>
    <t xml:space="preserve">AKODA ALIDOU ASSOCIER GERANT </t>
  </si>
  <si>
    <t>CECOTRA</t>
  </si>
  <si>
    <t>0</t>
  </si>
  <si>
    <t>2</t>
  </si>
  <si>
    <t>1</t>
  </si>
  <si>
    <t>8</t>
  </si>
  <si>
    <t>AKODA</t>
  </si>
  <si>
    <t>ALIDOU</t>
  </si>
  <si>
    <t>Gérant</t>
  </si>
  <si>
    <t>Calavi Tankpe</t>
  </si>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</sst>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5" formatCode="0.0%"/>
    <numFmt numFmtId="166" formatCode="#,##0_ ;\-#,##0\ "/>
    <numFmt numFmtId="170" formatCode="_-* #,##0.00\ _€_-;\-* #,##0.00\ _€_-;_-* &quot;-&quot;??\ _€_-;_-@_-"/>
  </numFmts>
  <fonts count="159">
    <font>
      <sz val="11"/>
      <color theme="1"/>
      <name val="Calibri"/>
      <family val="2"/>
      <scheme val="minor"/>
    </font>
    <font>
      <b/>
      <sz val="9"/>
      <color rgb="FF000000"/>
      <name val="Arial"/>
      <family val="2"/>
    </font>
    <font>
      <sz val="11"/>
      <color theme="1"/>
      <name val="Arial"/>
      <family val="2"/>
    </font>
    <font>
      <sz val="11"/>
      <color rgb="FF000000"/>
      <name val="Arial"/>
      <family val="2"/>
    </font>
    <font>
      <sz val="10"/>
      <color rgb="FF000000"/>
      <name val="Arial"/>
      <family val="2"/>
    </font>
    <font>
      <b/>
      <sz val="10"/>
      <color rgb="FF0070C0"/>
      <name val="Arial"/>
      <family val="2"/>
    </font>
    <font>
      <b/>
      <sz val="10"/>
      <color rgb="FFFFFFFF"/>
      <name val="Arial"/>
      <family val="2"/>
    </font>
    <font>
      <sz val="9"/>
      <color rgb="FF000000"/>
      <name val="Arial"/>
      <family val="2"/>
    </font>
    <font>
      <sz val="9"/>
      <color rgb="FF0D0D0D"/>
      <name val="Arial"/>
      <family val="2"/>
    </font>
    <font>
      <sz val="9"/>
      <color rgb="FFFFFFFF"/>
      <name val="Arial"/>
      <family val="2"/>
    </font>
    <font>
      <sz val="10"/>
      <color theme="1"/>
      <name val="Arial"/>
      <family val="2"/>
    </font>
    <font>
      <b/>
      <sz val="11"/>
      <color rgb="FF000000"/>
      <name val="Arial"/>
      <family val="2"/>
    </font>
    <font>
      <sz val="10"/>
      <color rgb="FFFFFFFF"/>
      <name val="Arial"/>
      <family val="2"/>
    </font>
    <font>
      <b/>
      <sz val="10"/>
      <color rgb="FF000000"/>
      <name val="Arial"/>
      <family val="2"/>
    </font>
    <font>
      <b/>
      <sz val="9"/>
      <color rgb="FFFFFFFF"/>
      <name val="Arial"/>
      <family val="2"/>
    </font>
    <font>
      <i/>
      <sz val="9"/>
      <color rgb="FF000000"/>
      <name val="Arial"/>
      <family val="2"/>
    </font>
    <font>
      <b/>
      <sz val="9"/>
      <color rgb="FF0070C0"/>
      <name val="ITC Avant Garde Gothic Demi"/>
      <family val="2"/>
    </font>
    <font>
      <b/>
      <sz val="14"/>
      <color rgb="FFFFFFFF"/>
      <name val="Arial"/>
      <family val="2"/>
    </font>
    <font>
      <sz val="10"/>
      <color rgb="FF0D0D0D"/>
      <name val="Arial"/>
      <family val="2"/>
    </font>
    <font>
      <sz val="9"/>
      <color theme="1"/>
      <name val="Arial"/>
      <family val="2"/>
    </font>
    <font>
      <b/>
      <sz val="8"/>
      <color rgb="FFFFFFFF"/>
      <name val="Arial"/>
      <family val="2"/>
    </font>
    <font>
      <sz val="8"/>
      <color rgb="FFFFFFFF"/>
      <name val="Arial"/>
      <family val="2"/>
    </font>
    <font>
      <sz val="8"/>
      <color rgb="FF0D0D0D"/>
      <name val="Arial"/>
      <family val="2"/>
    </font>
    <font>
      <b/>
      <sz val="8"/>
      <color rgb="FF0D0D0D"/>
      <name val="Arial"/>
      <family val="2"/>
    </font>
    <font>
      <b/>
      <sz val="12"/>
      <color rgb="FF548DD4"/>
      <name val="Arial"/>
      <family val="2"/>
    </font>
    <font>
      <b/>
      <sz val="9"/>
      <color rgb="FF0D0D0D"/>
      <name val="Arial"/>
      <family val="2"/>
    </font>
    <font>
      <b/>
      <sz val="8"/>
      <color rgb="FF000000"/>
      <name val="Arial"/>
      <family val="2"/>
    </font>
    <font>
      <b/>
      <sz val="9"/>
      <color rgb="FF548DD4"/>
      <name val="Arial"/>
      <family val="2"/>
    </font>
    <font>
      <b/>
      <vertAlign val="superscript"/>
      <sz val="8"/>
      <color rgb="FF000000"/>
      <name val="Arial"/>
      <family val="2"/>
    </font>
    <font>
      <b/>
      <sz val="10"/>
      <color rgb="FF548DD4"/>
      <name val="Arial"/>
      <family val="2"/>
    </font>
    <font>
      <b/>
      <vertAlign val="superscript"/>
      <sz val="9"/>
      <color rgb="FFFFFFFF"/>
      <name val="Arial"/>
      <family val="2"/>
    </font>
    <font>
      <vertAlign val="superscript"/>
      <sz val="9"/>
      <color rgb="FF000000"/>
      <name val="Arial"/>
      <family val="2"/>
    </font>
    <font>
      <b/>
      <vertAlign val="superscript"/>
      <sz val="9"/>
      <color rgb="FF000000"/>
      <name val="Arial"/>
      <family val="2"/>
    </font>
    <font>
      <b/>
      <sz val="10"/>
      <color theme="1"/>
      <name val="Arial"/>
      <family val="2"/>
    </font>
    <font>
      <b/>
      <sz val="9"/>
      <color theme="1"/>
      <name val="Arial"/>
      <family val="2"/>
    </font>
    <font>
      <sz val="11"/>
      <color rgb="FF000000"/>
      <name val="Calibri"/>
      <family val="2"/>
      <scheme val="minor"/>
    </font>
    <font>
      <b/>
      <sz val="14"/>
      <color rgb="FFFFFFFF"/>
      <name val="Cambria"/>
      <family val="1"/>
    </font>
    <font>
      <sz val="8"/>
      <color rgb="FF000000"/>
      <name val="Arial"/>
      <family val="2"/>
    </font>
    <font>
      <sz val="12"/>
      <color rgb="FF000000"/>
      <name val="Arial"/>
      <family val="2"/>
    </font>
    <font>
      <sz val="7"/>
      <color rgb="FF000000"/>
      <name val="Times New Roman"/>
      <family val="1"/>
    </font>
    <font>
      <b/>
      <sz val="9"/>
      <color rgb="FF000000"/>
      <name val="Times New Roman"/>
      <family val="1"/>
    </font>
    <font>
      <b/>
      <u/>
      <sz val="9"/>
      <color rgb="FF002060"/>
      <name val="Times New Roman"/>
      <family val="1"/>
    </font>
    <font>
      <b/>
      <sz val="9"/>
      <color rgb="FF0070C0"/>
      <name val="Times New Roman"/>
      <family val="1"/>
    </font>
    <font>
      <sz val="9"/>
      <color rgb="FF000000"/>
      <name val="Times New Roman"/>
      <family val="1"/>
    </font>
    <font>
      <i/>
      <sz val="12"/>
      <color rgb="FF000000"/>
      <name val="Times New Roman"/>
      <family val="1"/>
    </font>
    <font>
      <b/>
      <sz val="12"/>
      <color rgb="FF000000"/>
      <name val="Times New Roman"/>
      <family val="1"/>
    </font>
    <font>
      <b/>
      <sz val="11"/>
      <color rgb="FF000000"/>
      <name val="Times New Roman"/>
      <family val="1"/>
    </font>
    <font>
      <b/>
      <sz val="11"/>
      <color rgb="FF0D0D0D"/>
      <name val="Times New Roman"/>
      <family val="1"/>
    </font>
    <font>
      <b/>
      <u/>
      <sz val="11"/>
      <color rgb="FF002060"/>
      <name val="Times New Roman"/>
      <family val="1"/>
    </font>
    <font>
      <b/>
      <sz val="11"/>
      <color rgb="FF002060"/>
      <name val="Times New Roman"/>
      <family val="1"/>
    </font>
    <font>
      <b/>
      <sz val="11"/>
      <color rgb="FF548DD4"/>
      <name val="Times New Roman"/>
      <family val="1"/>
    </font>
    <font>
      <b/>
      <sz val="11"/>
      <color rgb="FFFFFFFF"/>
      <name val="Arial"/>
      <family val="2"/>
    </font>
    <font>
      <b/>
      <sz val="8"/>
      <color rgb="FFFF0000"/>
      <name val="Arial"/>
      <family val="2"/>
    </font>
    <font>
      <b/>
      <sz val="12"/>
      <color rgb="FF548DD4"/>
      <name val="Times New Roman"/>
      <family val="1"/>
    </font>
    <font>
      <sz val="9"/>
      <color rgb="FF000000"/>
      <name val="Calibri"/>
      <family val="2"/>
      <scheme val="minor"/>
    </font>
    <font>
      <sz val="9"/>
      <color theme="1"/>
      <name val="Calibri"/>
      <family val="2"/>
      <scheme val="minor"/>
    </font>
    <font>
      <sz val="9"/>
      <color rgb="FF000000"/>
      <name val="Calibri"/>
      <family val="2"/>
    </font>
    <font>
      <b/>
      <sz val="9"/>
      <color rgb="FFFFFFFF"/>
      <name val="Cambria"/>
      <family val="1"/>
    </font>
    <font>
      <b/>
      <sz val="9"/>
      <color rgb="FF548DD4"/>
      <name val="Times New Roman"/>
      <family val="1"/>
    </font>
    <font>
      <b/>
      <u/>
      <sz val="9"/>
      <color rgb="FF000000"/>
      <name val="Arial"/>
      <family val="2"/>
    </font>
    <font>
      <b/>
      <u/>
      <sz val="11"/>
      <color rgb="FF002060"/>
      <name val="Arial"/>
      <family val="2"/>
    </font>
    <font>
      <b/>
      <sz val="11"/>
      <color rgb="FF002060"/>
      <name val="Arial"/>
      <family val="2"/>
    </font>
    <font>
      <b/>
      <sz val="11"/>
      <color rgb="FF548DD4"/>
      <name val="Arial"/>
      <family val="2"/>
    </font>
    <font>
      <sz val="11"/>
      <color rgb="FFFFFFFF"/>
      <name val="Arial"/>
      <family val="2"/>
    </font>
    <font>
      <sz val="11"/>
      <color rgb="FF0D0D0D"/>
      <name val="Arial"/>
      <family val="2"/>
    </font>
    <font>
      <i/>
      <sz val="9"/>
      <color rgb="FF000000"/>
      <name val="Times New Roman"/>
      <family val="1"/>
    </font>
    <font>
      <b/>
      <sz val="11"/>
      <color rgb="FF0070C0"/>
      <name val="Times New Roman"/>
      <family val="1"/>
    </font>
    <font>
      <b/>
      <vertAlign val="subscript"/>
      <sz val="9"/>
      <color rgb="FF000000"/>
      <name val="Times New Roman"/>
      <family val="1"/>
    </font>
    <font>
      <b/>
      <sz val="11"/>
      <color theme="1"/>
      <name val="Cambria"/>
      <family val="1"/>
    </font>
    <font>
      <b/>
      <u/>
      <sz val="11"/>
      <color theme="1"/>
      <name val="Cambria"/>
      <family val="1"/>
    </font>
    <font>
      <b/>
      <u/>
      <sz val="11"/>
      <color rgb="FF002060"/>
      <name val="Cambria"/>
      <family val="1"/>
    </font>
    <font>
      <b/>
      <sz val="11"/>
      <color rgb="FF002060"/>
      <name val="Cambria"/>
      <family val="1"/>
    </font>
    <font>
      <sz val="9"/>
      <color theme="1"/>
      <name val="Cambria"/>
      <family val="1"/>
    </font>
    <font>
      <b/>
      <sz val="9"/>
      <color theme="1"/>
      <name val="Cambria"/>
      <family val="1"/>
    </font>
    <font>
      <b/>
      <sz val="11"/>
      <color rgb="FF00B0F0"/>
      <name val="Cambria"/>
      <family val="1"/>
    </font>
    <font>
      <b/>
      <vertAlign val="superscript"/>
      <sz val="11"/>
      <color rgb="FF548DD4"/>
      <name val="Times New Roman"/>
      <family val="1"/>
    </font>
    <font>
      <b/>
      <u/>
      <sz val="9"/>
      <color rgb="FF002060"/>
      <name val="Arial"/>
      <family val="2"/>
    </font>
    <font>
      <b/>
      <sz val="9"/>
      <color rgb="FF002060"/>
      <name val="Arial"/>
      <family val="2"/>
    </font>
    <font>
      <b/>
      <vertAlign val="subscript"/>
      <sz val="9"/>
      <color rgb="FF0070C0"/>
      <name val="Times New Roman"/>
      <family val="1"/>
    </font>
    <font>
      <b/>
      <sz val="11"/>
      <color rgb="FF0D0D0D"/>
      <name val="Arial"/>
      <family val="2"/>
    </font>
    <font>
      <sz val="11"/>
      <color rgb="FFFF0000"/>
      <name val="Arial"/>
      <family val="2"/>
    </font>
    <font>
      <vertAlign val="superscript"/>
      <sz val="11"/>
      <color rgb="FF000000"/>
      <name val="Arial"/>
      <family val="2"/>
    </font>
    <font>
      <b/>
      <sz val="11"/>
      <color rgb="FFFF0000"/>
      <name val="Arial"/>
      <family val="2"/>
    </font>
    <font>
      <b/>
      <i/>
      <sz val="9"/>
      <color rgb="FF000000"/>
      <name val="Arial"/>
      <family val="2"/>
    </font>
    <font>
      <b/>
      <sz val="11"/>
      <color rgb="FF00B0F0"/>
      <name val="Arial"/>
      <family val="2"/>
    </font>
    <font>
      <b/>
      <sz val="9"/>
      <color rgb="FF002060"/>
      <name val="Times New Roman"/>
      <family val="1"/>
    </font>
    <font>
      <b/>
      <sz val="12"/>
      <color rgb="FFFFFFFF"/>
      <name val="Cambria"/>
      <family val="1"/>
    </font>
    <font>
      <b/>
      <sz val="10"/>
      <color rgb="FF000000"/>
      <name val="Times New Roman"/>
      <family val="1"/>
    </font>
    <font>
      <b/>
      <sz val="12"/>
      <color rgb="FF0D0D0D"/>
      <name val="Times New Roman"/>
      <family val="1"/>
    </font>
    <font>
      <b/>
      <u/>
      <sz val="12"/>
      <color rgb="FF002060"/>
      <name val="Times New Roman"/>
      <family val="1"/>
    </font>
    <font>
      <b/>
      <sz val="12"/>
      <color rgb="FF002060"/>
      <name val="Times New Roman"/>
      <family val="1"/>
    </font>
    <font>
      <sz val="11"/>
      <color rgb="FF000000"/>
      <name val="Times New Roman"/>
      <family val="1"/>
    </font>
    <font>
      <sz val="8"/>
      <color theme="1"/>
      <name val="Arial"/>
      <family val="2"/>
    </font>
    <font>
      <b/>
      <sz val="8"/>
      <color theme="1"/>
      <name val="Arial"/>
      <family val="2"/>
    </font>
    <font>
      <sz val="8"/>
      <color theme="1"/>
      <name val="Cambria"/>
      <family val="1"/>
    </font>
    <font>
      <i/>
      <sz val="10"/>
      <color theme="1"/>
      <name val="Arial"/>
      <family val="2"/>
    </font>
    <font>
      <sz val="10"/>
      <color theme="1"/>
      <name val="Cambria"/>
      <family val="1"/>
    </font>
    <font>
      <sz val="7"/>
      <color theme="1"/>
      <name val="Times New Roman"/>
      <family val="1"/>
    </font>
    <font>
      <sz val="10"/>
      <color theme="1"/>
      <name val="Symbol"/>
      <family val="1"/>
      <charset val="2"/>
    </font>
    <font>
      <b/>
      <sz val="10"/>
      <color theme="1"/>
      <name val="Cambria"/>
      <family val="1"/>
    </font>
    <font>
      <b/>
      <u/>
      <sz val="10"/>
      <color theme="1"/>
      <name val="Cambria"/>
      <family val="1"/>
    </font>
    <font>
      <b/>
      <u/>
      <sz val="9"/>
      <color theme="1"/>
      <name val="Cambria"/>
      <family val="1"/>
    </font>
    <font>
      <b/>
      <sz val="9"/>
      <color rgb="FFFFFFFF"/>
      <name val="Verdana"/>
      <family val="2"/>
    </font>
    <font>
      <b/>
      <sz val="9"/>
      <color rgb="FF0D0D0D"/>
      <name val="Times New Roman"/>
      <family val="1"/>
    </font>
    <font>
      <b/>
      <sz val="8"/>
      <color rgb="FF000000"/>
      <name val="Times New Roman"/>
      <family val="1"/>
    </font>
    <font>
      <sz val="9"/>
      <color rgb="FF548DD4"/>
      <name val="Times New Roman"/>
      <family val="1"/>
    </font>
    <font>
      <sz val="9"/>
      <color rgb="FF002060"/>
      <name val="Calibri"/>
      <family val="2"/>
      <scheme val="minor"/>
    </font>
    <font>
      <sz val="11"/>
      <color rgb="FF548DD4"/>
      <name val="Arial"/>
      <family val="2"/>
    </font>
    <font>
      <vertAlign val="subscript"/>
      <sz val="17"/>
      <color rgb="FF000000"/>
      <name val="Calibri"/>
      <family val="2"/>
      <scheme val="minor"/>
    </font>
    <font>
      <b/>
      <sz val="12"/>
      <color rgb="FF0070C0"/>
      <name val="Cambria"/>
      <family val="1"/>
    </font>
    <font>
      <b/>
      <sz val="11"/>
      <color rgb="FF0070C0"/>
      <name val="Cambria"/>
      <family val="1"/>
    </font>
    <font>
      <b/>
      <vertAlign val="superscript"/>
      <sz val="10"/>
      <color rgb="FFFFFFFF"/>
      <name val="Arial"/>
      <family val="2"/>
    </font>
    <font>
      <b/>
      <vertAlign val="superscript"/>
      <sz val="10"/>
      <color theme="1"/>
      <name val="Arial"/>
      <family val="2"/>
    </font>
    <font>
      <vertAlign val="superscript"/>
      <sz val="10"/>
      <color theme="1"/>
      <name val="Arial"/>
      <family val="2"/>
    </font>
    <font>
      <b/>
      <sz val="12"/>
      <color theme="1"/>
      <name val="Cambria"/>
      <family val="1"/>
    </font>
    <font>
      <i/>
      <sz val="9"/>
      <color rgb="FFFFFFFF"/>
      <name val="Arial"/>
      <family val="2"/>
    </font>
    <font>
      <b/>
      <i/>
      <sz val="9"/>
      <color rgb="FFFFFFFF"/>
      <name val="Arial"/>
      <family val="2"/>
    </font>
    <font>
      <sz val="5"/>
      <color theme="1"/>
      <name val="Cambria"/>
      <family val="1"/>
    </font>
    <font>
      <sz val="11"/>
      <color theme="1"/>
      <name val="Calibri"/>
      <family val="2"/>
      <scheme val="minor"/>
    </font>
    <font>
      <b/>
      <sz val="10"/>
      <color rgb="FF0D0D0D"/>
      <name val="Arial"/>
      <family val="2"/>
    </font>
    <font>
      <b/>
      <sz val="11"/>
      <color theme="1"/>
      <name val="Arial"/>
      <family val="2"/>
    </font>
    <font>
      <sz val="8"/>
      <color theme="1"/>
      <name val="Symbol"/>
      <family val="1"/>
      <charset val="2"/>
    </font>
    <font>
      <sz val="8"/>
      <color theme="1"/>
      <name val="Times New Roman"/>
      <family val="1"/>
    </font>
    <font>
      <i/>
      <sz val="8"/>
      <color theme="1"/>
      <name val="Arial"/>
      <family val="2"/>
    </font>
    <font>
      <sz val="8"/>
      <color theme="1"/>
      <name val="Calibri"/>
      <family val="2"/>
      <scheme val="minor"/>
    </font>
    <font>
      <vertAlign val="superscript"/>
      <sz val="10"/>
      <color rgb="FF000000"/>
      <name val="Arial"/>
      <family val="2"/>
    </font>
    <font>
      <sz val="10"/>
      <color theme="1"/>
      <name val="Calibri"/>
      <family val="2"/>
      <scheme val="minor"/>
    </font>
    <font>
      <sz val="10"/>
      <color rgb="FF000000"/>
      <name val="Times New Roman"/>
      <family val="1"/>
    </font>
    <font>
      <i/>
      <sz val="10"/>
      <color rgb="FF000000"/>
      <name val="Arial"/>
      <family val="2"/>
    </font>
    <font>
      <b/>
      <sz val="9"/>
      <color rgb="FFFFFFFF"/>
      <name val="Calibri"/>
      <family val="2"/>
    </font>
    <font>
      <b/>
      <sz val="9"/>
      <color theme="1"/>
      <name val="Calibri"/>
      <family val="2"/>
    </font>
    <font>
      <sz val="9"/>
      <color theme="1"/>
      <name val="Calibri"/>
      <family val="2"/>
    </font>
    <font>
      <sz val="11"/>
      <color theme="1"/>
      <name val="Calibri"/>
      <family val="2"/>
    </font>
    <font>
      <b/>
      <sz val="9"/>
      <color theme="1"/>
      <name val="Calibri"/>
      <family val="2"/>
      <scheme val="minor"/>
    </font>
    <font>
      <b/>
      <sz val="7"/>
      <color theme="1"/>
      <name val="Times New Roman"/>
      <family val="1"/>
    </font>
    <font>
      <b/>
      <sz val="7"/>
      <color theme="1"/>
      <name val="Arial"/>
      <family val="2"/>
    </font>
    <font>
      <sz val="7"/>
      <color theme="1"/>
      <name val="Arial"/>
      <family val="2"/>
    </font>
    <font>
      <b/>
      <sz val="6"/>
      <color theme="1"/>
      <name val="Arial"/>
      <family val="2"/>
    </font>
    <font>
      <sz val="6"/>
      <color theme="1"/>
      <name val="Arial"/>
      <family val="2"/>
    </font>
    <font>
      <sz val="11"/>
      <name val="Arial"/>
      <family val="2"/>
    </font>
    <font>
      <b/>
      <sz val="11"/>
      <name val="Arial"/>
      <family val="2"/>
    </font>
    <font>
      <sz val="9"/>
      <name val="Arial"/>
      <family val="2"/>
    </font>
    <font>
      <b/>
      <u/>
      <sz val="11"/>
      <name val="Arial"/>
      <family val="2"/>
    </font>
    <font>
      <sz val="10"/>
      <name val="Arial"/>
      <family val="2"/>
    </font>
    <font>
      <b/>
      <sz val="9"/>
      <name val="Arial"/>
      <family val="2"/>
    </font>
    <font>
      <sz val="6"/>
      <name val="Arial"/>
      <family val="2"/>
    </font>
    <font>
      <b/>
      <sz val="10"/>
      <name val="Arial"/>
      <family val="2"/>
    </font>
    <font>
      <u/>
      <sz val="11"/>
      <color theme="10"/>
      <name val="Calibri"/>
      <family val="2"/>
      <scheme val="minor"/>
    </font>
    <font>
      <b/>
      <sz val="7"/>
      <name val="Arial"/>
      <family val="2"/>
    </font>
    <font>
      <sz val="8"/>
      <name val="Arial"/>
      <family val="2"/>
    </font>
    <font>
      <vertAlign val="superscript"/>
      <sz val="8"/>
      <name val="Arial"/>
      <family val="2"/>
    </font>
    <font>
      <vertAlign val="superscript"/>
      <sz val="10"/>
      <name val="Arial"/>
      <family val="2"/>
    </font>
    <font>
      <vertAlign val="superscript"/>
      <sz val="9"/>
      <name val="Arial"/>
      <family val="2"/>
    </font>
    <font>
      <b/>
      <vertAlign val="superscript"/>
      <sz val="11"/>
      <name val="Arial"/>
      <family val="2"/>
    </font>
    <font>
      <b/>
      <sz val="8"/>
      <name val="Arial"/>
      <family val="2"/>
    </font>
    <font>
      <b/>
      <sz val="9"/>
      <color theme="0"/>
      <name val="Arial"/>
      <family val="2"/>
    </font>
    <font>
      <b/>
      <sz val="11"/>
      <color theme="1"/>
      <name val="Calibri"/>
      <family val="2"/>
      <scheme val="minor"/>
    </font>
    <font>
      <sz val="16"/>
      <color theme="1"/>
      <name val="Arial Black"/>
      <family val="2"/>
    </font>
    <font>
      <b/>
      <sz val="9"/>
      <color rgb="FFFFFFFF"/>
      <name val="ITC Avant Garde Gothic Demi"/>
    </font>
  </fonts>
  <fills count="22">
    <fill>
      <patternFill patternType="none"/>
    </fill>
    <fill>
      <patternFill patternType="gray125"/>
    </fill>
    <fill>
      <patternFill patternType="solid">
        <fgColor rgb="FF91A7C3"/>
        <bgColor indexed="64"/>
      </patternFill>
    </fill>
    <fill>
      <patternFill patternType="solid">
        <fgColor rgb="FFD9D9D9"/>
        <bgColor indexed="64"/>
      </patternFill>
    </fill>
    <fill>
      <patternFill patternType="solid">
        <fgColor rgb="FF002060"/>
        <bgColor indexed="64"/>
      </patternFill>
    </fill>
    <fill>
      <patternFill patternType="solid">
        <fgColor rgb="FF7C984A"/>
        <bgColor indexed="64"/>
      </patternFill>
    </fill>
    <fill>
      <patternFill patternType="solid">
        <fgColor rgb="FFF2EEE8"/>
        <bgColor indexed="64"/>
      </patternFill>
    </fill>
    <fill>
      <patternFill patternType="solid">
        <fgColor rgb="FFDAE1EB"/>
        <bgColor indexed="64"/>
      </patternFill>
    </fill>
    <fill>
      <patternFill patternType="solid">
        <fgColor rgb="FF92D050"/>
        <bgColor indexed="64"/>
      </patternFill>
    </fill>
    <fill>
      <patternFill patternType="solid">
        <fgColor rgb="FFB5C4D7"/>
        <bgColor indexed="64"/>
      </patternFill>
    </fill>
    <fill>
      <patternFill patternType="solid">
        <fgColor rgb="FF8DB3E2"/>
        <bgColor indexed="64"/>
      </patternFill>
    </fill>
    <fill>
      <patternFill patternType="solid">
        <fgColor rgb="FF76923C"/>
        <bgColor indexed="64"/>
      </patternFill>
    </fill>
    <fill>
      <patternFill patternType="solid">
        <fgColor rgb="FF95B3D7"/>
        <bgColor indexed="64"/>
      </patternFill>
    </fill>
    <fill>
      <patternFill patternType="solid">
        <fgColor rgb="FF244062"/>
        <bgColor indexed="64"/>
      </patternFill>
    </fill>
    <fill>
      <patternFill patternType="solid">
        <fgColor rgb="FF3C3D3F"/>
        <bgColor indexed="64"/>
      </patternFill>
    </fill>
    <fill>
      <patternFill patternType="solid">
        <fgColor rgb="FFBFBFBF"/>
        <bgColor indexed="64"/>
      </patternFill>
    </fill>
    <fill>
      <patternFill patternType="solid">
        <fgColor rgb="FFA6A6A6"/>
        <bgColor indexed="64"/>
      </patternFill>
    </fill>
    <fill>
      <patternFill patternType="solid">
        <fgColor rgb="FF0070C0"/>
        <bgColor indexed="64"/>
      </patternFill>
    </fill>
    <fill>
      <patternFill patternType="solid">
        <fgColor rgb="FFEAF1DD"/>
        <bgColor indexed="64"/>
      </patternFill>
    </fill>
    <fill>
      <patternFill patternType="solid">
        <fgColor indexed="9"/>
        <bgColor indexed="64"/>
      </patternFill>
    </fill>
    <fill>
      <patternFill patternType="solid">
        <fgColor indexed="22"/>
        <bgColor indexed="64"/>
      </patternFill>
    </fill>
    <fill>
      <patternFill patternType="solid">
        <fgColor theme="8" tint="0.59999389629810485"/>
        <bgColor indexed="64"/>
      </patternFill>
    </fill>
  </fills>
  <borders count="182">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rgb="FF000000"/>
      </bottom>
      <diagonal/>
    </border>
    <border>
      <left/>
      <right style="medium">
        <color indexed="64"/>
      </right>
      <top/>
      <bottom style="medium">
        <color rgb="FF000000"/>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medium">
        <color indexed="64"/>
      </top>
      <bottom/>
      <diagonal/>
    </border>
    <border>
      <left style="double">
        <color indexed="64"/>
      </left>
      <right style="medium">
        <color indexed="64"/>
      </right>
      <top/>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medium">
        <color indexed="64"/>
      </bottom>
      <diagonal/>
    </border>
    <border>
      <left style="double">
        <color indexed="64"/>
      </left>
      <right/>
      <top style="medium">
        <color indexed="64"/>
      </top>
      <bottom/>
      <diagonal/>
    </border>
    <border>
      <left/>
      <right style="double">
        <color indexed="64"/>
      </right>
      <top style="medium">
        <color indexed="64"/>
      </top>
      <bottom/>
      <diagonal/>
    </border>
    <border>
      <left style="double">
        <color indexed="64"/>
      </left>
      <right/>
      <top/>
      <bottom/>
      <diagonal/>
    </border>
    <border>
      <left/>
      <right style="double">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double">
        <color indexed="64"/>
      </right>
      <top style="medium">
        <color indexed="64"/>
      </top>
      <bottom/>
      <diagonal/>
    </border>
    <border>
      <left style="double">
        <color indexed="64"/>
      </left>
      <right style="double">
        <color indexed="64"/>
      </right>
      <top/>
      <bottom/>
      <diagonal/>
    </border>
    <border>
      <left style="double">
        <color indexed="64"/>
      </left>
      <right style="double">
        <color indexed="64"/>
      </right>
      <top/>
      <bottom style="medium">
        <color rgb="FF000000"/>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right style="double">
        <color indexed="64"/>
      </right>
      <top style="thin">
        <color indexed="64"/>
      </top>
      <bottom/>
      <diagonal/>
    </border>
    <border>
      <left style="double">
        <color indexed="64"/>
      </left>
      <right/>
      <top style="thin">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style="double">
        <color indexed="64"/>
      </left>
      <right style="medium">
        <color indexed="64"/>
      </right>
      <top style="thin">
        <color indexed="64"/>
      </top>
      <bottom/>
      <diagonal/>
    </border>
    <border>
      <left style="double">
        <color indexed="64"/>
      </left>
      <right style="medium">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thin">
        <color indexed="64"/>
      </right>
      <top style="thin">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style="medium">
        <color rgb="FF000000"/>
      </top>
      <bottom style="medium">
        <color rgb="FF000000"/>
      </bottom>
      <diagonal/>
    </border>
    <border>
      <left/>
      <right style="medium">
        <color rgb="FF000000"/>
      </right>
      <top/>
      <bottom style="medium">
        <color rgb="FFD9D9D9"/>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medium">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medium">
        <color indexed="64"/>
      </right>
      <top style="thin">
        <color indexed="64"/>
      </top>
      <bottom/>
      <diagonal style="thin">
        <color indexed="64"/>
      </diagonal>
    </border>
    <border diagonalUp="1">
      <left style="thin">
        <color indexed="64"/>
      </left>
      <right style="thin">
        <color indexed="64"/>
      </right>
      <top style="medium">
        <color indexed="64"/>
      </top>
      <bottom style="medium">
        <color indexed="64"/>
      </bottom>
      <diagonal style="thin">
        <color indexed="64"/>
      </diagonal>
    </border>
    <border diagonalUp="1">
      <left style="thin">
        <color indexed="64"/>
      </left>
      <right style="medium">
        <color indexed="64"/>
      </right>
      <top style="medium">
        <color indexed="64"/>
      </top>
      <bottom style="medium">
        <color indexed="64"/>
      </bottom>
      <diagonal style="thin">
        <color indexed="64"/>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medium">
        <color rgb="FF000000"/>
      </left>
      <right/>
      <top/>
      <bottom style="medium">
        <color rgb="FF244062"/>
      </bottom>
      <diagonal/>
    </border>
    <border>
      <left/>
      <right style="medium">
        <color rgb="FF000000"/>
      </right>
      <top/>
      <bottom style="medium">
        <color rgb="FF244062"/>
      </bottom>
      <diagonal/>
    </border>
    <border>
      <left style="medium">
        <color rgb="FF000000"/>
      </left>
      <right/>
      <top style="medium">
        <color rgb="FF244062"/>
      </top>
      <bottom/>
      <diagonal/>
    </border>
    <border>
      <left/>
      <right style="medium">
        <color rgb="FF000000"/>
      </right>
      <top style="medium">
        <color rgb="FF244062"/>
      </top>
      <bottom/>
      <diagonal/>
    </border>
    <border>
      <left style="medium">
        <color rgb="FF000000"/>
      </left>
      <right/>
      <top style="medium">
        <color rgb="FF244062"/>
      </top>
      <bottom style="medium">
        <color rgb="FF000000"/>
      </bottom>
      <diagonal/>
    </border>
    <border>
      <left/>
      <right style="medium">
        <color rgb="FF000000"/>
      </right>
      <top style="medium">
        <color rgb="FF244062"/>
      </top>
      <bottom style="medium">
        <color rgb="FF000000"/>
      </bottom>
      <diagonal/>
    </border>
    <border>
      <left style="thin">
        <color indexed="64"/>
      </left>
      <right/>
      <top/>
      <bottom style="thin">
        <color indexed="64"/>
      </bottom>
      <diagonal/>
    </border>
    <border>
      <left style="thin">
        <color indexed="64"/>
      </left>
      <right/>
      <top style="thin">
        <color indexed="64"/>
      </top>
      <bottom/>
      <diagonal/>
    </border>
    <border>
      <left style="medium">
        <color rgb="FF000000"/>
      </left>
      <right style="medium">
        <color rgb="FF000000"/>
      </right>
      <top style="thin">
        <color rgb="FF000000"/>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diagonalDown="1">
      <left style="medium">
        <color indexed="64"/>
      </left>
      <right style="thin">
        <color indexed="64"/>
      </right>
      <top style="medium">
        <color indexed="64"/>
      </top>
      <bottom/>
      <diagonal style="thin">
        <color indexed="64"/>
      </diagonal>
    </border>
    <border diagonalDown="1">
      <left style="medium">
        <color indexed="64"/>
      </left>
      <right style="thin">
        <color indexed="64"/>
      </right>
      <top/>
      <bottom style="medium">
        <color indexed="64"/>
      </bottom>
      <diagonal style="thin">
        <color indexed="64"/>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thin">
        <color indexed="64"/>
      </left>
      <right/>
      <top/>
      <bottom/>
      <diagonal/>
    </border>
    <border>
      <left/>
      <right/>
      <top/>
      <bottom style="dashDotDot">
        <color indexed="64"/>
      </bottom>
      <diagonal/>
    </border>
    <border>
      <left/>
      <right style="thin">
        <color indexed="64"/>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diagonalDown="1">
      <left style="medium">
        <color indexed="64"/>
      </left>
      <right style="thin">
        <color indexed="64"/>
      </right>
      <top/>
      <bottom/>
      <diagonal style="medium">
        <color indexed="64"/>
      </diagonal>
    </border>
  </borders>
  <cellStyleXfs count="8">
    <xf numFmtId="0" fontId="0" fillId="0" borderId="0"/>
    <xf numFmtId="43" fontId="118" fillId="0" borderId="0" applyFont="0" applyFill="0" applyBorder="0" applyAlignment="0" applyProtection="0"/>
    <xf numFmtId="0" fontId="143" fillId="0" borderId="0"/>
    <xf numFmtId="0" fontId="147" fillId="0" borderId="0" applyNumberFormat="0" applyFill="0" applyBorder="0" applyAlignment="0" applyProtection="0"/>
    <xf numFmtId="9" fontId="118" fillId="0" borderId="0" applyFont="0" applyFill="0" applyBorder="0" applyAlignment="0" applyProtection="0"/>
    <xf numFmtId="170" fontId="118" fillId="0" borderId="0" applyFont="0" applyFill="0" applyBorder="0" applyAlignment="0" applyProtection="0"/>
    <xf numFmtId="170" fontId="118" fillId="0" borderId="0" applyFont="0" applyFill="0" applyBorder="0" applyAlignment="0" applyProtection="0"/>
    <xf numFmtId="170" fontId="118" fillId="0" borderId="0" applyFont="0" applyFill="0" applyBorder="0" applyAlignment="0" applyProtection="0"/>
  </cellStyleXfs>
  <cellXfs count="179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horizontal="center"/>
    </xf>
    <xf numFmtId="0" fontId="10" fillId="0" borderId="0" xfId="0" applyFont="1" applyAlignment="1">
      <alignment horizontal="left" vertical="center"/>
    </xf>
    <xf numFmtId="0" fontId="17" fillId="0" borderId="0" xfId="0" applyFont="1" applyAlignment="1">
      <alignment vertical="center"/>
    </xf>
    <xf numFmtId="0" fontId="0" fillId="0" borderId="0" xfId="0" applyAlignment="1">
      <alignment horizontal="center"/>
    </xf>
    <xf numFmtId="0" fontId="7" fillId="0" borderId="0" xfId="0" applyFont="1" applyAlignment="1">
      <alignment vertical="center"/>
    </xf>
    <xf numFmtId="0" fontId="19" fillId="0" borderId="0" xfId="0" applyFont="1"/>
    <xf numFmtId="0" fontId="19" fillId="0" borderId="0" xfId="0" applyFont="1" applyAlignment="1">
      <alignment horizontal="left" vertical="center"/>
    </xf>
    <xf numFmtId="0" fontId="6" fillId="2" borderId="5" xfId="0" applyFont="1" applyFill="1" applyBorder="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horizontal="center" vertical="center" wrapText="1"/>
    </xf>
    <xf numFmtId="0" fontId="18" fillId="0" borderId="5" xfId="0" applyFont="1" applyBorder="1" applyAlignment="1">
      <alignment vertical="center" wrapText="1"/>
    </xf>
    <xf numFmtId="0" fontId="18"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vertical="center" wrapText="1"/>
    </xf>
    <xf numFmtId="0" fontId="4" fillId="3" borderId="5" xfId="0" applyFont="1" applyFill="1" applyBorder="1" applyAlignment="1">
      <alignment horizontal="center" vertical="center" wrapText="1"/>
    </xf>
    <xf numFmtId="0" fontId="6" fillId="4" borderId="5" xfId="0" applyFont="1" applyFill="1" applyBorder="1" applyAlignment="1">
      <alignment vertical="center" wrapText="1"/>
    </xf>
    <xf numFmtId="0" fontId="12" fillId="4"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5" borderId="6" xfId="0" applyFont="1" applyFill="1" applyBorder="1" applyAlignment="1">
      <alignment vertical="center" wrapText="1"/>
    </xf>
    <xf numFmtId="0" fontId="12" fillId="5" borderId="6"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3" borderId="12" xfId="0" applyFont="1" applyFill="1" applyBorder="1" applyAlignment="1">
      <alignment vertical="center" wrapText="1"/>
    </xf>
    <xf numFmtId="0" fontId="1" fillId="3" borderId="12"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vertical="center" wrapText="1"/>
    </xf>
    <xf numFmtId="0" fontId="7" fillId="0" borderId="12" xfId="0" applyFont="1" applyBorder="1" applyAlignment="1">
      <alignment horizontal="center" vertical="center" wrapText="1"/>
    </xf>
    <xf numFmtId="0" fontId="8" fillId="0" borderId="5" xfId="0" applyFont="1" applyBorder="1" applyAlignment="1">
      <alignment horizontal="center" vertical="center" wrapText="1"/>
    </xf>
    <xf numFmtId="0" fontId="13" fillId="3" borderId="12" xfId="0" applyFont="1" applyFill="1" applyBorder="1" applyAlignment="1">
      <alignment vertical="center" wrapText="1"/>
    </xf>
    <xf numFmtId="0" fontId="13" fillId="3" borderId="12" xfId="0" applyFont="1" applyFill="1" applyBorder="1" applyAlignment="1">
      <alignment horizontal="center" vertical="center" wrapText="1"/>
    </xf>
    <xf numFmtId="0" fontId="7" fillId="0" borderId="5" xfId="0" applyFont="1" applyBorder="1" applyAlignment="1">
      <alignment horizontal="left" vertical="center" wrapText="1" indent="1"/>
    </xf>
    <xf numFmtId="0" fontId="1" fillId="0" borderId="5" xfId="0" applyFont="1" applyBorder="1" applyAlignment="1">
      <alignment horizontal="left" vertical="center" wrapText="1" indent="1"/>
    </xf>
    <xf numFmtId="0" fontId="14" fillId="4" borderId="12" xfId="0" applyFont="1" applyFill="1" applyBorder="1" applyAlignment="1">
      <alignment vertical="center" wrapText="1"/>
    </xf>
    <xf numFmtId="0" fontId="14" fillId="4" borderId="12" xfId="0" applyFont="1" applyFill="1" applyBorder="1" applyAlignment="1">
      <alignment horizontal="center" vertical="center" wrapText="1"/>
    </xf>
    <xf numFmtId="0" fontId="1" fillId="0" borderId="6" xfId="0" applyFont="1" applyBorder="1" applyAlignment="1">
      <alignment horizontal="center" vertical="center" wrapText="1"/>
    </xf>
    <xf numFmtId="0" fontId="14" fillId="5" borderId="13" xfId="0" applyFont="1" applyFill="1" applyBorder="1" applyAlignment="1">
      <alignment vertical="center" wrapText="1"/>
    </xf>
    <xf numFmtId="0" fontId="14" fillId="5" borderId="13" xfId="0" applyFont="1" applyFill="1" applyBorder="1" applyAlignment="1">
      <alignment horizontal="center" vertical="center" wrapText="1"/>
    </xf>
    <xf numFmtId="0" fontId="24" fillId="0" borderId="0" xfId="0" applyFont="1" applyAlignment="1">
      <alignment vertical="center"/>
    </xf>
    <xf numFmtId="0" fontId="22"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0" fillId="4" borderId="5" xfId="0" applyFont="1" applyFill="1" applyBorder="1" applyAlignment="1">
      <alignment horizontal="center" vertical="center" wrapText="1"/>
    </xf>
    <xf numFmtId="0" fontId="23" fillId="6" borderId="5"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19" fillId="0" borderId="0" xfId="0" applyFont="1" applyAlignment="1">
      <alignment horizontal="center"/>
    </xf>
    <xf numFmtId="0" fontId="8" fillId="0" borderId="5" xfId="0" applyFont="1" applyBorder="1" applyAlignment="1">
      <alignment vertical="center" wrapText="1"/>
    </xf>
    <xf numFmtId="0" fontId="14" fillId="4" borderId="5" xfId="0" applyFont="1" applyFill="1" applyBorder="1" applyAlignment="1">
      <alignment horizontal="right" vertical="center" wrapText="1"/>
    </xf>
    <xf numFmtId="0" fontId="14" fillId="4" borderId="5" xfId="0" applyFont="1" applyFill="1" applyBorder="1" applyAlignment="1">
      <alignment horizontal="left" vertical="center" wrapText="1" indent="7"/>
    </xf>
    <xf numFmtId="0" fontId="14" fillId="4" borderId="5" xfId="0" applyFont="1" applyFill="1" applyBorder="1" applyAlignment="1">
      <alignment vertical="center" wrapText="1"/>
    </xf>
    <xf numFmtId="0" fontId="25" fillId="6" borderId="5" xfId="0" applyFont="1" applyFill="1" applyBorder="1" applyAlignment="1">
      <alignment horizontal="justify" vertical="center" wrapText="1"/>
    </xf>
    <xf numFmtId="0" fontId="25" fillId="6" borderId="5" xfId="0" applyFont="1" applyFill="1" applyBorder="1" applyAlignment="1">
      <alignment vertical="center" wrapText="1"/>
    </xf>
    <xf numFmtId="0" fontId="14" fillId="5" borderId="6" xfId="0" applyFont="1" applyFill="1" applyBorder="1" applyAlignment="1">
      <alignment horizontal="left" vertical="center" wrapText="1" indent="12"/>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6" fillId="4" borderId="5" xfId="0" applyFont="1" applyFill="1" applyBorder="1" applyAlignment="1">
      <alignment horizontal="center" vertical="center" wrapText="1"/>
    </xf>
    <xf numFmtId="0" fontId="1" fillId="0" borderId="0" xfId="0" applyFont="1" applyAlignment="1">
      <alignment horizontal="left" vertical="center" indent="4"/>
    </xf>
    <xf numFmtId="0" fontId="7" fillId="3" borderId="5" xfId="0" applyFont="1" applyFill="1" applyBorder="1" applyAlignment="1">
      <alignment horizontal="center" vertical="center" wrapText="1"/>
    </xf>
    <xf numFmtId="0" fontId="7" fillId="3" borderId="5" xfId="0" applyFont="1" applyFill="1" applyBorder="1" applyAlignment="1">
      <alignment vertical="center" wrapText="1"/>
    </xf>
    <xf numFmtId="0" fontId="1" fillId="0" borderId="5" xfId="0" applyFont="1" applyBorder="1" applyAlignment="1">
      <alignment vertical="center" wrapText="1"/>
    </xf>
    <xf numFmtId="0" fontId="7" fillId="0" borderId="5" xfId="0" applyFont="1" applyBorder="1" applyAlignment="1">
      <alignment vertical="center" wrapText="1"/>
    </xf>
    <xf numFmtId="0" fontId="14"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1" fillId="7" borderId="5" xfId="0" applyFont="1" applyFill="1" applyBorder="1" applyAlignment="1">
      <alignment horizontal="center" vertical="center" wrapText="1"/>
    </xf>
    <xf numFmtId="0" fontId="9" fillId="7" borderId="5" xfId="0" applyFont="1" applyFill="1" applyBorder="1" applyAlignment="1">
      <alignment vertical="center" wrapText="1"/>
    </xf>
    <xf numFmtId="0" fontId="14" fillId="7" borderId="5" xfId="0" applyFont="1" applyFill="1" applyBorder="1" applyAlignment="1">
      <alignment vertical="center" wrapText="1"/>
    </xf>
    <xf numFmtId="0" fontId="1" fillId="6" borderId="5" xfId="0" applyFont="1" applyFill="1" applyBorder="1" applyAlignment="1">
      <alignment vertical="center" wrapText="1"/>
    </xf>
    <xf numFmtId="0" fontId="1" fillId="6" borderId="5" xfId="0" applyFont="1" applyFill="1" applyBorder="1" applyAlignment="1">
      <alignment horizontal="center" vertical="center" wrapText="1"/>
    </xf>
    <xf numFmtId="0" fontId="35" fillId="0" borderId="0" xfId="0" applyFont="1" applyAlignment="1">
      <alignment vertical="center"/>
    </xf>
    <xf numFmtId="0" fontId="36" fillId="0" borderId="0" xfId="0" applyFont="1" applyAlignment="1">
      <alignment vertical="center"/>
    </xf>
    <xf numFmtId="0" fontId="40" fillId="0" borderId="0" xfId="0"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0" fontId="47" fillId="0" borderId="0" xfId="0" applyFont="1" applyAlignment="1">
      <alignment horizontal="left" vertical="center" indent="13"/>
    </xf>
    <xf numFmtId="0" fontId="3" fillId="0" borderId="21" xfId="0" applyFont="1" applyBorder="1" applyAlignment="1">
      <alignment vertical="center" wrapText="1"/>
    </xf>
    <xf numFmtId="0" fontId="35" fillId="0" borderId="0" xfId="0" applyFont="1" applyAlignment="1">
      <alignment horizontal="left" vertical="center" indent="1"/>
    </xf>
    <xf numFmtId="0" fontId="53" fillId="0" borderId="0" xfId="0" applyFont="1" applyAlignment="1">
      <alignment horizontal="center" vertical="center"/>
    </xf>
    <xf numFmtId="0" fontId="11" fillId="3" borderId="21" xfId="0" applyFont="1" applyFill="1" applyBorder="1" applyAlignment="1">
      <alignment vertical="center" wrapText="1"/>
    </xf>
    <xf numFmtId="0" fontId="45" fillId="0" borderId="0" xfId="0" applyFont="1" applyAlignment="1">
      <alignment horizontal="left" vertical="center" indent="2"/>
    </xf>
    <xf numFmtId="0" fontId="35" fillId="0" borderId="0" xfId="0" applyFont="1" applyAlignment="1">
      <alignment horizontal="left" vertical="center" indent="2"/>
    </xf>
    <xf numFmtId="0" fontId="45" fillId="0" borderId="0" xfId="0" applyFont="1" applyAlignment="1">
      <alignment horizontal="left" vertical="center" indent="1"/>
    </xf>
    <xf numFmtId="0" fontId="14" fillId="2" borderId="19" xfId="0" applyFont="1" applyFill="1" applyBorder="1" applyAlignment="1">
      <alignment horizontal="center" vertical="center" wrapText="1"/>
    </xf>
    <xf numFmtId="0" fontId="13" fillId="0" borderId="0" xfId="0" applyFont="1" applyAlignment="1">
      <alignment horizontal="left" vertical="center" indent="2"/>
    </xf>
    <xf numFmtId="0" fontId="54" fillId="0" borderId="0" xfId="0" applyFont="1" applyAlignment="1">
      <alignment vertical="center"/>
    </xf>
    <xf numFmtId="0" fontId="55" fillId="0" borderId="0" xfId="0" applyFont="1"/>
    <xf numFmtId="0" fontId="54" fillId="0" borderId="0" xfId="0" applyFont="1" applyAlignment="1">
      <alignment horizontal="justify" vertical="center"/>
    </xf>
    <xf numFmtId="0" fontId="7" fillId="0" borderId="0" xfId="0" applyFont="1" applyAlignment="1">
      <alignment horizontal="left" vertical="center" indent="5"/>
    </xf>
    <xf numFmtId="0" fontId="58" fillId="0" borderId="0" xfId="0" applyFont="1" applyAlignment="1">
      <alignment horizontal="center" vertical="center"/>
    </xf>
    <xf numFmtId="0" fontId="1" fillId="3" borderId="36" xfId="0" applyFont="1" applyFill="1" applyBorder="1" applyAlignment="1">
      <alignment vertical="center" wrapText="1"/>
    </xf>
    <xf numFmtId="0" fontId="7" fillId="0" borderId="36" xfId="0" applyFont="1" applyBorder="1" applyAlignment="1">
      <alignment vertical="center" wrapText="1"/>
    </xf>
    <xf numFmtId="0" fontId="7" fillId="0" borderId="37" xfId="0" applyFont="1" applyBorder="1" applyAlignment="1">
      <alignment vertical="center" wrapText="1"/>
    </xf>
    <xf numFmtId="0" fontId="7" fillId="0" borderId="38" xfId="0" applyFont="1" applyBorder="1" applyAlignment="1">
      <alignment vertical="center" wrapText="1"/>
    </xf>
    <xf numFmtId="0" fontId="7" fillId="0" borderId="42" xfId="0" applyFont="1" applyBorder="1" applyAlignment="1">
      <alignment vertical="center" wrapText="1"/>
    </xf>
    <xf numFmtId="0" fontId="1" fillId="3" borderId="24" xfId="0" applyFont="1" applyFill="1" applyBorder="1" applyAlignment="1">
      <alignment vertical="center" wrapText="1"/>
    </xf>
    <xf numFmtId="0" fontId="14" fillId="5" borderId="37" xfId="0" applyFont="1" applyFill="1" applyBorder="1" applyAlignment="1">
      <alignment vertical="center" wrapText="1"/>
    </xf>
    <xf numFmtId="0" fontId="1" fillId="3" borderId="57" xfId="0" applyFont="1" applyFill="1" applyBorder="1" applyAlignment="1">
      <alignment vertical="center" wrapText="1"/>
    </xf>
    <xf numFmtId="0" fontId="7" fillId="0" borderId="58" xfId="0" applyFont="1" applyBorder="1" applyAlignment="1">
      <alignment vertical="center" wrapText="1"/>
    </xf>
    <xf numFmtId="0" fontId="7" fillId="0" borderId="55" xfId="0" applyFont="1" applyBorder="1" applyAlignment="1">
      <alignment vertical="center" wrapText="1"/>
    </xf>
    <xf numFmtId="0" fontId="7" fillId="0" borderId="56" xfId="0" applyFont="1" applyBorder="1" applyAlignment="1">
      <alignment vertical="center" wrapText="1"/>
    </xf>
    <xf numFmtId="0" fontId="14" fillId="4" borderId="57" xfId="0" applyFont="1" applyFill="1" applyBorder="1" applyAlignment="1">
      <alignment horizontal="center" vertical="center" wrapText="1"/>
    </xf>
    <xf numFmtId="0" fontId="7" fillId="0" borderId="58" xfId="0" applyFont="1" applyBorder="1" applyAlignment="1">
      <alignment horizontal="center" vertical="center" wrapText="1"/>
    </xf>
    <xf numFmtId="0" fontId="1" fillId="3" borderId="55" xfId="0" applyFont="1" applyFill="1" applyBorder="1" applyAlignment="1">
      <alignment vertical="center" wrapText="1"/>
    </xf>
    <xf numFmtId="0" fontId="7" fillId="3" borderId="24" xfId="0" applyFont="1" applyFill="1" applyBorder="1" applyAlignment="1">
      <alignment vertical="center" wrapText="1"/>
    </xf>
    <xf numFmtId="0" fontId="9" fillId="4" borderId="24" xfId="0" applyFont="1" applyFill="1" applyBorder="1" applyAlignment="1">
      <alignment vertical="center" wrapText="1"/>
    </xf>
    <xf numFmtId="0" fontId="7" fillId="3" borderId="36" xfId="0" applyFont="1" applyFill="1" applyBorder="1" applyAlignment="1">
      <alignment vertical="center" wrapText="1"/>
    </xf>
    <xf numFmtId="0" fontId="14" fillId="5" borderId="57" xfId="0" applyFont="1" applyFill="1" applyBorder="1" applyAlignment="1">
      <alignment vertical="center" wrapText="1"/>
    </xf>
    <xf numFmtId="0" fontId="9" fillId="5" borderId="24" xfId="0" applyFont="1" applyFill="1" applyBorder="1" applyAlignment="1">
      <alignment vertical="center" wrapText="1"/>
    </xf>
    <xf numFmtId="0" fontId="14" fillId="2" borderId="35" xfId="0" applyFont="1" applyFill="1" applyBorder="1" applyAlignment="1">
      <alignment horizontal="center" vertical="center" wrapText="1"/>
    </xf>
    <xf numFmtId="0" fontId="9" fillId="2" borderId="53"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57" fillId="0" borderId="0" xfId="0" applyFont="1" applyAlignment="1">
      <alignment horizontal="center" vertical="center"/>
    </xf>
    <xf numFmtId="0" fontId="14" fillId="2" borderId="0" xfId="0" applyFont="1" applyFill="1" applyBorder="1" applyAlignment="1">
      <alignment horizontal="center" vertical="center" wrapText="1"/>
    </xf>
    <xf numFmtId="0" fontId="14" fillId="2" borderId="63" xfId="0" applyFont="1" applyFill="1" applyBorder="1" applyAlignment="1">
      <alignment horizontal="justify" vertical="center" wrapText="1"/>
    </xf>
    <xf numFmtId="0" fontId="14" fillId="2" borderId="64" xfId="0" applyFont="1" applyFill="1" applyBorder="1" applyAlignment="1">
      <alignment horizontal="center" vertical="center" wrapText="1"/>
    </xf>
    <xf numFmtId="0" fontId="1" fillId="3" borderId="42" xfId="0" applyFont="1" applyFill="1" applyBorder="1" applyAlignment="1">
      <alignment vertical="center" wrapText="1"/>
    </xf>
    <xf numFmtId="0" fontId="14" fillId="2" borderId="66" xfId="0" applyFont="1" applyFill="1" applyBorder="1" applyAlignment="1">
      <alignment horizontal="center" vertical="center" wrapText="1"/>
    </xf>
    <xf numFmtId="0" fontId="14" fillId="2" borderId="65" xfId="0" applyFont="1" applyFill="1" applyBorder="1" applyAlignment="1">
      <alignment horizontal="center" vertical="center" wrapText="1"/>
    </xf>
    <xf numFmtId="0" fontId="14" fillId="2" borderId="67" xfId="0" applyFont="1" applyFill="1" applyBorder="1" applyAlignment="1">
      <alignment horizontal="center" vertical="center" wrapText="1"/>
    </xf>
    <xf numFmtId="0" fontId="14" fillId="2" borderId="70" xfId="0" applyFont="1" applyFill="1" applyBorder="1" applyAlignment="1">
      <alignment horizontal="center" vertical="center" wrapText="1"/>
    </xf>
    <xf numFmtId="0" fontId="14" fillId="2" borderId="71" xfId="0" applyFont="1" applyFill="1" applyBorder="1" applyAlignment="1">
      <alignment horizontal="center" vertical="center" wrapText="1"/>
    </xf>
    <xf numFmtId="0" fontId="14" fillId="2" borderId="63" xfId="0" applyFont="1" applyFill="1" applyBorder="1" applyAlignment="1">
      <alignment horizontal="center" vertical="center" wrapText="1"/>
    </xf>
    <xf numFmtId="0" fontId="14" fillId="2" borderId="60" xfId="0" applyFont="1" applyFill="1" applyBorder="1" applyAlignment="1">
      <alignment horizontal="center" vertical="center" wrapText="1"/>
    </xf>
    <xf numFmtId="0" fontId="29" fillId="0" borderId="0" xfId="0" applyFont="1" applyBorder="1" applyAlignment="1">
      <alignment horizontal="center" vertical="center"/>
    </xf>
    <xf numFmtId="0" fontId="14" fillId="2" borderId="37" xfId="0" applyFont="1" applyFill="1" applyBorder="1" applyAlignment="1">
      <alignment horizontal="center" vertical="center" wrapText="1"/>
    </xf>
    <xf numFmtId="0" fontId="60" fillId="0" borderId="0" xfId="0" applyFont="1" applyAlignment="1">
      <alignment horizontal="center" vertical="center"/>
    </xf>
    <xf numFmtId="0" fontId="62" fillId="0" borderId="0" xfId="0" applyFont="1" applyAlignment="1">
      <alignment horizontal="center" vertical="center"/>
    </xf>
    <xf numFmtId="0" fontId="40" fillId="0" borderId="0" xfId="0" applyFont="1" applyAlignment="1">
      <alignment horizontal="left" vertical="center" indent="15"/>
    </xf>
    <xf numFmtId="0" fontId="55" fillId="2" borderId="66" xfId="0" applyFont="1" applyFill="1" applyBorder="1" applyAlignment="1">
      <alignment vertical="top" wrapText="1"/>
    </xf>
    <xf numFmtId="0" fontId="14" fillId="2" borderId="40" xfId="0" applyFont="1" applyFill="1" applyBorder="1" applyAlignment="1">
      <alignment horizontal="center" vertical="center" wrapText="1"/>
    </xf>
    <xf numFmtId="0" fontId="14" fillId="2" borderId="97" xfId="0" applyFont="1" applyFill="1" applyBorder="1" applyAlignment="1">
      <alignment horizontal="center" vertical="center" wrapText="1"/>
    </xf>
    <xf numFmtId="0" fontId="14" fillId="2" borderId="101" xfId="0" applyFont="1" applyFill="1" applyBorder="1" applyAlignment="1">
      <alignment horizontal="center" vertical="center" wrapText="1"/>
    </xf>
    <xf numFmtId="0" fontId="14" fillId="2" borderId="98" xfId="0" applyFont="1" applyFill="1" applyBorder="1" applyAlignment="1">
      <alignment horizontal="center" vertical="center" wrapText="1"/>
    </xf>
    <xf numFmtId="0" fontId="14" fillId="2" borderId="99" xfId="0" applyFont="1" applyFill="1" applyBorder="1" applyAlignment="1">
      <alignment horizontal="center" vertical="center" wrapText="1"/>
    </xf>
    <xf numFmtId="0" fontId="14" fillId="2" borderId="70" xfId="0" applyFont="1" applyFill="1" applyBorder="1" applyAlignment="1">
      <alignment horizontal="left" vertical="center" wrapText="1"/>
    </xf>
    <xf numFmtId="0" fontId="55" fillId="2" borderId="70" xfId="0" applyFont="1" applyFill="1" applyBorder="1" applyAlignment="1">
      <alignment vertical="top" wrapText="1"/>
    </xf>
    <xf numFmtId="0" fontId="14" fillId="2" borderId="108" xfId="0" applyFont="1" applyFill="1" applyBorder="1" applyAlignment="1">
      <alignment horizontal="center" vertical="center" wrapText="1"/>
    </xf>
    <xf numFmtId="0" fontId="7" fillId="0" borderId="66" xfId="0" applyFont="1" applyBorder="1" applyAlignment="1">
      <alignment vertical="center" wrapText="1"/>
    </xf>
    <xf numFmtId="0" fontId="1" fillId="8" borderId="66" xfId="0" applyFont="1" applyFill="1" applyBorder="1" applyAlignment="1">
      <alignment vertical="center" wrapText="1"/>
    </xf>
    <xf numFmtId="0" fontId="14" fillId="8" borderId="70" xfId="0" applyFont="1" applyFill="1" applyBorder="1" applyAlignment="1">
      <alignment vertical="center" wrapText="1"/>
    </xf>
    <xf numFmtId="0" fontId="7" fillId="0" borderId="0" xfId="0" applyFont="1" applyAlignment="1">
      <alignment horizontal="justify" vertical="center"/>
    </xf>
    <xf numFmtId="0" fontId="1" fillId="0" borderId="0" xfId="0" applyFont="1" applyAlignment="1">
      <alignment horizontal="justify" vertical="center"/>
    </xf>
    <xf numFmtId="0" fontId="65" fillId="0" borderId="0" xfId="0" applyFont="1" applyAlignment="1">
      <alignment horizontal="justify" vertical="center"/>
    </xf>
    <xf numFmtId="0" fontId="57" fillId="0" borderId="0" xfId="0" applyFont="1" applyAlignment="1">
      <alignment horizontal="left" vertical="center" indent="15"/>
    </xf>
    <xf numFmtId="0" fontId="40" fillId="0" borderId="0" xfId="0" applyFont="1" applyAlignment="1">
      <alignment vertical="center"/>
    </xf>
    <xf numFmtId="0" fontId="40" fillId="0" borderId="0" xfId="0" applyFont="1" applyAlignment="1">
      <alignment horizontal="left" vertical="center" indent="8"/>
    </xf>
    <xf numFmtId="0" fontId="7" fillId="0" borderId="0" xfId="0" applyFont="1" applyAlignment="1">
      <alignment horizontal="left" vertical="center" indent="2"/>
    </xf>
    <xf numFmtId="0" fontId="0" fillId="0" borderId="0" xfId="0" applyFont="1"/>
    <xf numFmtId="0" fontId="14" fillId="5" borderId="72" xfId="0" applyFont="1" applyFill="1" applyBorder="1" applyAlignment="1">
      <alignment vertical="center" wrapText="1"/>
    </xf>
    <xf numFmtId="0" fontId="1" fillId="3" borderId="57" xfId="0" applyFont="1" applyFill="1" applyBorder="1" applyAlignment="1">
      <alignment horizontal="justify" vertical="center" wrapText="1"/>
    </xf>
    <xf numFmtId="0" fontId="14" fillId="5" borderId="57" xfId="0" applyFont="1" applyFill="1" applyBorder="1" applyAlignment="1">
      <alignment horizontal="center" vertical="center" wrapText="1"/>
    </xf>
    <xf numFmtId="0" fontId="14" fillId="2" borderId="63" xfId="0" applyFont="1" applyFill="1" applyBorder="1" applyAlignment="1">
      <alignment horizontal="left" vertical="center" wrapText="1" indent="1"/>
    </xf>
    <xf numFmtId="0" fontId="48" fillId="0" borderId="0" xfId="0" applyFont="1" applyAlignment="1">
      <alignment horizontal="center" vertical="center"/>
    </xf>
    <xf numFmtId="0" fontId="54" fillId="0" borderId="0" xfId="0" applyFont="1" applyAlignment="1">
      <alignment horizontal="right" vertical="center"/>
    </xf>
    <xf numFmtId="0" fontId="7" fillId="3" borderId="24" xfId="0" applyFont="1" applyFill="1" applyBorder="1" applyAlignment="1">
      <alignment horizontal="center" vertical="center" wrapText="1"/>
    </xf>
    <xf numFmtId="0" fontId="51" fillId="2" borderId="72" xfId="0" applyFont="1" applyFill="1" applyBorder="1" applyAlignment="1">
      <alignment horizontal="center" vertical="center" wrapText="1"/>
    </xf>
    <xf numFmtId="0" fontId="51" fillId="2" borderId="63" xfId="0" applyFont="1" applyFill="1" applyBorder="1" applyAlignment="1">
      <alignment horizontal="center" vertical="center" wrapText="1"/>
    </xf>
    <xf numFmtId="0" fontId="51" fillId="2" borderId="60" xfId="0" applyFont="1" applyFill="1" applyBorder="1" applyAlignment="1">
      <alignment horizontal="center" vertical="center" wrapText="1"/>
    </xf>
    <xf numFmtId="0" fontId="3" fillId="0" borderId="58" xfId="0" applyFont="1" applyBorder="1" applyAlignment="1">
      <alignment vertical="center" wrapText="1"/>
    </xf>
    <xf numFmtId="0" fontId="3" fillId="0" borderId="55" xfId="0" applyFont="1" applyBorder="1" applyAlignment="1">
      <alignment vertical="center" wrapText="1"/>
    </xf>
    <xf numFmtId="0" fontId="3" fillId="0" borderId="59" xfId="0" applyFont="1" applyBorder="1" applyAlignment="1">
      <alignment vertical="center" wrapText="1"/>
    </xf>
    <xf numFmtId="0" fontId="37" fillId="0" borderId="28" xfId="0" applyFont="1" applyBorder="1" applyAlignment="1">
      <alignment vertical="center" wrapText="1"/>
    </xf>
    <xf numFmtId="0" fontId="37" fillId="0" borderId="34" xfId="0" applyFont="1" applyBorder="1" applyAlignment="1">
      <alignment vertical="center" wrapText="1"/>
    </xf>
    <xf numFmtId="0" fontId="37" fillId="0" borderId="61" xfId="0" applyFont="1" applyBorder="1" applyAlignment="1">
      <alignment vertical="center" wrapText="1"/>
    </xf>
    <xf numFmtId="0" fontId="26" fillId="3" borderId="62" xfId="0" applyFont="1" applyFill="1" applyBorder="1" applyAlignment="1">
      <alignment horizontal="center" vertical="center" wrapText="1"/>
    </xf>
    <xf numFmtId="0" fontId="1" fillId="0" borderId="0" xfId="0" applyFont="1" applyAlignment="1">
      <alignment horizontal="left" vertical="center" indent="2"/>
    </xf>
    <xf numFmtId="0" fontId="7" fillId="0" borderId="0" xfId="0" applyFont="1" applyAlignment="1">
      <alignment horizontal="left" vertical="center" indent="7"/>
    </xf>
    <xf numFmtId="0" fontId="7" fillId="0" borderId="0" xfId="0" applyFont="1" applyAlignment="1">
      <alignment horizontal="left" vertical="center" indent="10"/>
    </xf>
    <xf numFmtId="0" fontId="3" fillId="0" borderId="0" xfId="0" applyFont="1" applyBorder="1" applyAlignment="1">
      <alignment vertical="center" wrapText="1"/>
    </xf>
    <xf numFmtId="0" fontId="3" fillId="0" borderId="0" xfId="0" applyFont="1" applyBorder="1" applyAlignment="1">
      <alignment horizontal="right" vertical="center" wrapText="1"/>
    </xf>
    <xf numFmtId="0" fontId="7" fillId="0" borderId="0" xfId="0" applyFont="1" applyAlignment="1">
      <alignment horizontal="left" vertical="center" indent="4"/>
    </xf>
    <xf numFmtId="0" fontId="15" fillId="0" borderId="0" xfId="0" applyFont="1" applyAlignment="1">
      <alignment horizontal="left" vertical="center" indent="7"/>
    </xf>
    <xf numFmtId="0" fontId="7" fillId="0" borderId="0" xfId="0" applyFont="1" applyAlignment="1">
      <alignment horizontal="left" vertical="center" indent="1"/>
    </xf>
    <xf numFmtId="0" fontId="27" fillId="0" borderId="0" xfId="0" applyFont="1" applyAlignment="1">
      <alignment horizontal="center" vertical="center"/>
    </xf>
    <xf numFmtId="0" fontId="14" fillId="2" borderId="49" xfId="0" applyFont="1" applyFill="1" applyBorder="1" applyAlignment="1">
      <alignment horizontal="center" vertical="center" wrapText="1"/>
    </xf>
    <xf numFmtId="0" fontId="14" fillId="2" borderId="119" xfId="0" applyFont="1" applyFill="1" applyBorder="1" applyAlignment="1">
      <alignment horizontal="center" vertical="center" wrapText="1"/>
    </xf>
    <xf numFmtId="0" fontId="7" fillId="0" borderId="55" xfId="0" applyFont="1" applyBorder="1" applyAlignment="1">
      <alignment vertical="center" wrapText="1"/>
    </xf>
    <xf numFmtId="0" fontId="7" fillId="0" borderId="74" xfId="0" applyFont="1" applyBorder="1" applyAlignment="1">
      <alignment vertical="center" wrapText="1"/>
    </xf>
    <xf numFmtId="0" fontId="7" fillId="0" borderId="59" xfId="0" applyFont="1" applyBorder="1" applyAlignment="1">
      <alignment vertical="center" wrapText="1"/>
    </xf>
    <xf numFmtId="0" fontId="7" fillId="0" borderId="75" xfId="0" applyFont="1" applyBorder="1" applyAlignment="1">
      <alignment vertical="center" wrapText="1"/>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62"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14" fillId="2" borderId="64" xfId="0" applyFont="1" applyFill="1" applyBorder="1" applyAlignment="1">
      <alignment horizontal="center" vertical="center" wrapText="1"/>
    </xf>
    <xf numFmtId="0" fontId="14" fillId="5" borderId="62" xfId="0" applyFont="1" applyFill="1" applyBorder="1" applyAlignment="1">
      <alignment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62"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62" fillId="0" borderId="0" xfId="0" applyFont="1" applyAlignment="1">
      <alignment horizontal="center" vertical="center"/>
    </xf>
    <xf numFmtId="0" fontId="69" fillId="0" borderId="0" xfId="0"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left" vertical="center" indent="5"/>
    </xf>
    <xf numFmtId="0" fontId="73" fillId="0" borderId="0" xfId="0" applyFont="1" applyAlignment="1">
      <alignment vertical="center"/>
    </xf>
    <xf numFmtId="0" fontId="14" fillId="10" borderId="72" xfId="0" applyFont="1" applyFill="1" applyBorder="1" applyAlignment="1">
      <alignment horizontal="center" vertical="center" wrapText="1"/>
    </xf>
    <xf numFmtId="0" fontId="19" fillId="0" borderId="64" xfId="0" applyFont="1" applyBorder="1" applyAlignment="1">
      <alignment vertical="center" wrapText="1"/>
    </xf>
    <xf numFmtId="0" fontId="19" fillId="0" borderId="60" xfId="0" applyFont="1" applyBorder="1" applyAlignment="1">
      <alignment vertical="center" wrapText="1"/>
    </xf>
    <xf numFmtId="0" fontId="34" fillId="3" borderId="60" xfId="0" applyFont="1" applyFill="1" applyBorder="1" applyAlignment="1">
      <alignment vertical="center" wrapText="1"/>
    </xf>
    <xf numFmtId="0" fontId="34" fillId="0" borderId="60" xfId="0" applyFont="1" applyBorder="1" applyAlignment="1">
      <alignment vertical="center" wrapText="1"/>
    </xf>
    <xf numFmtId="0" fontId="14" fillId="11" borderId="60" xfId="0" applyFont="1" applyFill="1" applyBorder="1" applyAlignment="1">
      <alignment horizontal="center" vertical="center" wrapText="1"/>
    </xf>
    <xf numFmtId="0" fontId="72" fillId="0" borderId="0" xfId="0" applyFont="1" applyAlignment="1">
      <alignment vertical="center"/>
    </xf>
    <xf numFmtId="0" fontId="34" fillId="0" borderId="0" xfId="0" applyFont="1" applyAlignment="1">
      <alignment vertical="center"/>
    </xf>
    <xf numFmtId="0" fontId="14" fillId="2" borderId="60" xfId="0" applyFont="1" applyFill="1" applyBorder="1" applyAlignment="1">
      <alignment horizontal="left" vertical="center" wrapText="1"/>
    </xf>
    <xf numFmtId="0" fontId="46" fillId="0" borderId="0" xfId="0" applyFont="1" applyAlignment="1">
      <alignment horizontal="left" vertical="center"/>
    </xf>
    <xf numFmtId="0" fontId="54" fillId="0" borderId="0" xfId="0" applyFont="1" applyAlignment="1">
      <alignment horizontal="left" vertical="center" indent="1"/>
    </xf>
    <xf numFmtId="0" fontId="57" fillId="0" borderId="0" xfId="0" applyFont="1" applyAlignment="1">
      <alignment horizontal="right" vertical="center"/>
    </xf>
    <xf numFmtId="0" fontId="7" fillId="0" borderId="21" xfId="0" applyFont="1" applyBorder="1" applyAlignment="1">
      <alignment vertical="center" wrapText="1"/>
    </xf>
    <xf numFmtId="0" fontId="7" fillId="0" borderId="19" xfId="0" applyFont="1" applyBorder="1" applyAlignment="1">
      <alignment vertical="center" wrapText="1"/>
    </xf>
    <xf numFmtId="0" fontId="1" fillId="3" borderId="21" xfId="0" applyFont="1" applyFill="1" applyBorder="1" applyAlignment="1">
      <alignment vertical="center" wrapText="1"/>
    </xf>
    <xf numFmtId="0" fontId="1" fillId="0" borderId="19" xfId="0" applyFont="1" applyBorder="1" applyAlignment="1">
      <alignment vertical="center" wrapText="1"/>
    </xf>
    <xf numFmtId="0" fontId="1" fillId="3" borderId="21" xfId="0" applyFont="1" applyFill="1" applyBorder="1" applyAlignment="1">
      <alignment horizontal="center" vertical="center" wrapText="1"/>
    </xf>
    <xf numFmtId="0" fontId="7" fillId="3" borderId="19" xfId="0" applyFont="1" applyFill="1" applyBorder="1" applyAlignment="1">
      <alignment vertical="center" wrapText="1"/>
    </xf>
    <xf numFmtId="0" fontId="1" fillId="0" borderId="0" xfId="0" applyFont="1" applyAlignment="1">
      <alignment horizontal="left" vertical="center" indent="1"/>
    </xf>
    <xf numFmtId="0" fontId="65" fillId="0" borderId="0" xfId="0" applyFont="1" applyAlignment="1">
      <alignment horizontal="left" vertical="center" indent="2"/>
    </xf>
    <xf numFmtId="0" fontId="43" fillId="0" borderId="0" xfId="0" applyFont="1" applyAlignment="1">
      <alignment horizontal="left" vertical="center" indent="2"/>
    </xf>
    <xf numFmtId="0" fontId="54" fillId="0" borderId="0" xfId="0" applyFont="1" applyAlignment="1">
      <alignment horizontal="left" vertical="center" indent="2"/>
    </xf>
    <xf numFmtId="0" fontId="50" fillId="0" borderId="0" xfId="0" applyFont="1" applyAlignment="1">
      <alignment horizontal="center" vertical="center"/>
    </xf>
    <xf numFmtId="0" fontId="7" fillId="0" borderId="23" xfId="0" applyFont="1" applyBorder="1" applyAlignment="1">
      <alignment vertical="center" wrapText="1"/>
    </xf>
    <xf numFmtId="0" fontId="1" fillId="3" borderId="23" xfId="0" applyFont="1" applyFill="1" applyBorder="1" applyAlignment="1">
      <alignment vertical="center" wrapText="1"/>
    </xf>
    <xf numFmtId="0" fontId="7" fillId="0" borderId="28" xfId="0" applyFont="1" applyBorder="1" applyAlignment="1">
      <alignment vertical="center" wrapText="1"/>
    </xf>
    <xf numFmtId="0" fontId="7" fillId="0" borderId="29" xfId="0" applyFont="1" applyBorder="1" applyAlignment="1">
      <alignment vertical="center" wrapText="1"/>
    </xf>
    <xf numFmtId="0" fontId="1" fillId="3" borderId="28" xfId="0" applyFont="1" applyFill="1" applyBorder="1" applyAlignment="1">
      <alignment vertical="center" wrapText="1"/>
    </xf>
    <xf numFmtId="0" fontId="1" fillId="0" borderId="28" xfId="0" applyFont="1" applyBorder="1" applyAlignment="1">
      <alignment vertical="center" wrapText="1"/>
    </xf>
    <xf numFmtId="0" fontId="7" fillId="0" borderId="61" xfId="0" applyFont="1" applyBorder="1" applyAlignment="1">
      <alignment vertical="center" wrapText="1"/>
    </xf>
    <xf numFmtId="0" fontId="7" fillId="0" borderId="40" xfId="0" applyFont="1" applyBorder="1" applyAlignment="1">
      <alignment vertical="center" wrapText="1"/>
    </xf>
    <xf numFmtId="0" fontId="7" fillId="0" borderId="41" xfId="0" applyFont="1" applyBorder="1" applyAlignment="1">
      <alignment vertical="center" wrapText="1"/>
    </xf>
    <xf numFmtId="0" fontId="1" fillId="0" borderId="34" xfId="0" applyFont="1" applyBorder="1" applyAlignment="1">
      <alignment vertical="center" wrapText="1"/>
    </xf>
    <xf numFmtId="0" fontId="1" fillId="0" borderId="44" xfId="0" applyFont="1" applyBorder="1" applyAlignment="1">
      <alignment vertical="center" wrapText="1"/>
    </xf>
    <xf numFmtId="0" fontId="1" fillId="0" borderId="45" xfId="0" applyFont="1" applyBorder="1" applyAlignment="1">
      <alignment vertical="center" wrapText="1"/>
    </xf>
    <xf numFmtId="0" fontId="1" fillId="3" borderId="62" xfId="0" applyFont="1" applyFill="1" applyBorder="1" applyAlignment="1">
      <alignment vertical="center" wrapText="1"/>
    </xf>
    <xf numFmtId="0" fontId="1" fillId="3" borderId="47" xfId="0" applyFont="1" applyFill="1" applyBorder="1" applyAlignment="1">
      <alignment vertical="center" wrapText="1"/>
    </xf>
    <xf numFmtId="0" fontId="1" fillId="3" borderId="48" xfId="0" applyFont="1" applyFill="1" applyBorder="1" applyAlignment="1">
      <alignment vertical="center" wrapText="1"/>
    </xf>
    <xf numFmtId="0" fontId="1" fillId="3" borderId="62" xfId="0" applyFont="1" applyFill="1" applyBorder="1" applyAlignment="1">
      <alignment horizontal="center" vertical="center" wrapText="1"/>
    </xf>
    <xf numFmtId="0" fontId="7" fillId="0" borderId="34" xfId="0" applyFont="1" applyBorder="1" applyAlignment="1">
      <alignment vertical="center" wrapText="1"/>
    </xf>
    <xf numFmtId="0" fontId="7" fillId="0" borderId="44" xfId="0" applyFont="1" applyBorder="1" applyAlignment="1">
      <alignment vertical="center" wrapText="1"/>
    </xf>
    <xf numFmtId="0" fontId="7" fillId="0" borderId="45" xfId="0" applyFont="1" applyBorder="1" applyAlignment="1">
      <alignment vertical="center" wrapText="1"/>
    </xf>
    <xf numFmtId="0" fontId="57" fillId="0" borderId="0" xfId="0" applyFont="1" applyAlignment="1">
      <alignment horizontal="left" vertical="center" indent="1"/>
    </xf>
    <xf numFmtId="0" fontId="14" fillId="2" borderId="21" xfId="0" applyFont="1" applyFill="1" applyBorder="1" applyAlignment="1">
      <alignment horizontal="center" vertical="center" wrapText="1"/>
    </xf>
    <xf numFmtId="0" fontId="40" fillId="0" borderId="0" xfId="0" applyFont="1" applyAlignment="1">
      <alignment horizontal="left" vertical="center" indent="2"/>
    </xf>
    <xf numFmtId="0" fontId="47" fillId="0" borderId="0" xfId="0" applyFont="1" applyAlignment="1">
      <alignment horizontal="center" vertical="center"/>
    </xf>
    <xf numFmtId="0" fontId="14" fillId="2" borderId="23" xfId="0" applyFont="1" applyFill="1" applyBorder="1" applyAlignment="1">
      <alignment horizontal="center" vertical="center" wrapText="1"/>
    </xf>
    <xf numFmtId="0" fontId="14" fillId="2" borderId="122" xfId="0" applyFont="1" applyFill="1" applyBorder="1" applyAlignment="1">
      <alignment horizontal="center" vertical="center" wrapText="1"/>
    </xf>
    <xf numFmtId="0" fontId="7" fillId="0" borderId="28" xfId="0" applyFont="1" applyBorder="1" applyAlignment="1">
      <alignment horizontal="justify" vertical="center" wrapText="1"/>
    </xf>
    <xf numFmtId="0" fontId="14" fillId="2" borderId="110" xfId="0" applyFont="1" applyFill="1" applyBorder="1" applyAlignment="1">
      <alignment horizontal="center" vertical="center" wrapText="1"/>
    </xf>
    <xf numFmtId="0" fontId="54" fillId="0" borderId="0" xfId="0" applyFont="1" applyAlignment="1">
      <alignment horizontal="left" vertical="center" indent="7"/>
    </xf>
    <xf numFmtId="0" fontId="1" fillId="3" borderId="21" xfId="0" applyFont="1" applyFill="1" applyBorder="1" applyAlignment="1">
      <alignment horizontal="justify" vertical="center" wrapText="1"/>
    </xf>
    <xf numFmtId="0" fontId="14" fillId="0" borderId="0" xfId="0" applyFont="1" applyAlignment="1">
      <alignment vertical="center"/>
    </xf>
    <xf numFmtId="0" fontId="57" fillId="0" borderId="0" xfId="0" applyFont="1" applyAlignment="1">
      <alignment horizontal="left" vertical="center" indent="6"/>
    </xf>
    <xf numFmtId="0" fontId="14" fillId="9" borderId="20" xfId="0" applyFont="1" applyFill="1" applyBorder="1" applyAlignment="1">
      <alignment horizontal="center" vertical="center" wrapText="1"/>
    </xf>
    <xf numFmtId="0" fontId="1" fillId="0" borderId="21" xfId="0" applyFont="1" applyBorder="1" applyAlignment="1">
      <alignment horizontal="center" vertical="center" wrapText="1"/>
    </xf>
    <xf numFmtId="0" fontId="7" fillId="0" borderId="19" xfId="0" applyFont="1" applyBorder="1" applyAlignment="1">
      <alignment horizontal="justify" vertical="center" wrapText="1"/>
    </xf>
    <xf numFmtId="0" fontId="1" fillId="0" borderId="19" xfId="0" applyFont="1" applyBorder="1" applyAlignment="1">
      <alignment horizontal="right" vertical="center" wrapText="1"/>
    </xf>
    <xf numFmtId="0" fontId="1" fillId="0" borderId="21" xfId="0" applyFont="1" applyBorder="1" applyAlignment="1">
      <alignment horizontal="left" vertical="center" wrapText="1" indent="1"/>
    </xf>
    <xf numFmtId="0" fontId="78" fillId="0" borderId="0" xfId="0" applyFont="1" applyAlignment="1">
      <alignment horizontal="left" vertical="center" indent="2"/>
    </xf>
    <xf numFmtId="0" fontId="40" fillId="0" borderId="0" xfId="0" applyFont="1" applyAlignment="1">
      <alignment horizontal="left" vertical="center" indent="1"/>
    </xf>
    <xf numFmtId="0" fontId="65" fillId="0" borderId="0" xfId="0" applyFont="1" applyAlignment="1">
      <alignment vertical="center"/>
    </xf>
    <xf numFmtId="0" fontId="49" fillId="0" borderId="0" xfId="0" applyFont="1" applyAlignment="1">
      <alignment horizontal="center" vertical="center"/>
    </xf>
    <xf numFmtId="0" fontId="7" fillId="0" borderId="0" xfId="0" applyFont="1" applyAlignment="1">
      <alignment horizontal="left" vertical="center" wrapText="1"/>
    </xf>
    <xf numFmtId="0" fontId="55" fillId="0" borderId="0" xfId="0" applyFont="1" applyAlignment="1">
      <alignment wrapText="1"/>
    </xf>
    <xf numFmtId="0" fontId="14" fillId="2" borderId="5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118"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63" fillId="2" borderId="18" xfId="0" applyFont="1" applyFill="1" applyBorder="1" applyAlignment="1">
      <alignment horizontal="center" vertical="center" wrapText="1"/>
    </xf>
    <xf numFmtId="0" fontId="44" fillId="0" borderId="0" xfId="0" applyFont="1" applyAlignment="1">
      <alignment horizontal="left" vertical="center" indent="2"/>
    </xf>
    <xf numFmtId="0" fontId="46" fillId="0" borderId="0" xfId="0" applyFont="1" applyAlignment="1">
      <alignment horizontal="left" vertical="center" indent="1"/>
    </xf>
    <xf numFmtId="0" fontId="11" fillId="2" borderId="20" xfId="0" applyFont="1" applyFill="1" applyBorder="1" applyAlignment="1">
      <alignment horizontal="center" vertical="center" wrapText="1"/>
    </xf>
    <xf numFmtId="0" fontId="63" fillId="2" borderId="18" xfId="0" applyFont="1" applyFill="1" applyBorder="1" applyAlignment="1">
      <alignment horizontal="justify" vertical="center" wrapText="1"/>
    </xf>
    <xf numFmtId="0" fontId="3" fillId="0" borderId="21" xfId="0" applyFont="1" applyBorder="1" applyAlignment="1">
      <alignment horizontal="justify" vertical="center" wrapText="1"/>
    </xf>
    <xf numFmtId="0" fontId="46" fillId="0" borderId="0" xfId="0" applyFont="1" applyAlignment="1">
      <alignment horizontal="justify" vertical="center"/>
    </xf>
    <xf numFmtId="0" fontId="1" fillId="3" borderId="62" xfId="0" applyFont="1" applyFill="1" applyBorder="1" applyAlignment="1">
      <alignment horizontal="justify"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0" fontId="15" fillId="0" borderId="55" xfId="0" applyFont="1" applyBorder="1" applyAlignment="1">
      <alignment vertical="center" wrapText="1"/>
    </xf>
    <xf numFmtId="0" fontId="15" fillId="0" borderId="36" xfId="0" applyFont="1" applyBorder="1" applyAlignment="1">
      <alignment vertical="center" wrapText="1"/>
    </xf>
    <xf numFmtId="16" fontId="14" fillId="2" borderId="37" xfId="0" applyNumberFormat="1" applyFont="1" applyFill="1" applyBorder="1" applyAlignment="1">
      <alignment horizontal="center" vertical="center" wrapText="1"/>
    </xf>
    <xf numFmtId="0" fontId="14" fillId="12" borderId="69" xfId="0" applyFont="1" applyFill="1" applyBorder="1" applyAlignment="1">
      <alignment horizontal="center" vertical="center" wrapText="1"/>
    </xf>
    <xf numFmtId="0" fontId="14" fillId="12" borderId="72" xfId="0" applyFont="1" applyFill="1" applyBorder="1" applyAlignment="1">
      <alignment horizontal="center" vertical="center" wrapText="1"/>
    </xf>
    <xf numFmtId="0" fontId="19" fillId="0" borderId="0" xfId="0" applyFont="1" applyAlignment="1">
      <alignment vertical="center"/>
    </xf>
    <xf numFmtId="0" fontId="19" fillId="0" borderId="23" xfId="0" applyFont="1" applyBorder="1" applyAlignment="1">
      <alignment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4" xfId="0" applyFont="1" applyBorder="1" applyAlignment="1">
      <alignment vertical="center" wrapText="1"/>
    </xf>
    <xf numFmtId="0" fontId="19" fillId="0" borderId="44" xfId="0" applyFont="1" applyBorder="1" applyAlignment="1">
      <alignment vertical="center" wrapText="1"/>
    </xf>
    <xf numFmtId="0" fontId="19" fillId="0" borderId="45" xfId="0" applyFont="1" applyBorder="1" applyAlignment="1">
      <alignment vertical="center" wrapText="1"/>
    </xf>
    <xf numFmtId="0" fontId="19" fillId="3" borderId="40" xfId="0" applyFont="1" applyFill="1" applyBorder="1" applyAlignment="1">
      <alignment vertical="center" wrapText="1"/>
    </xf>
    <xf numFmtId="0" fontId="19" fillId="0" borderId="40" xfId="0" applyFont="1" applyBorder="1" applyAlignment="1">
      <alignment vertical="center" wrapText="1"/>
    </xf>
    <xf numFmtId="0" fontId="27" fillId="2" borderId="62" xfId="0" applyFont="1" applyFill="1" applyBorder="1" applyAlignment="1">
      <alignment horizontal="center" vertical="center" wrapText="1"/>
    </xf>
    <xf numFmtId="0" fontId="1" fillId="0" borderId="30" xfId="0" applyFont="1" applyBorder="1" applyAlignment="1">
      <alignment vertical="center" wrapText="1"/>
    </xf>
    <xf numFmtId="0" fontId="4" fillId="0" borderId="34" xfId="0" applyFont="1" applyBorder="1" applyAlignment="1">
      <alignment vertical="center" wrapText="1"/>
    </xf>
    <xf numFmtId="0" fontId="4" fillId="0" borderId="28" xfId="0" applyFont="1" applyBorder="1" applyAlignment="1">
      <alignment vertical="center" wrapText="1"/>
    </xf>
    <xf numFmtId="0" fontId="62" fillId="0" borderId="0" xfId="0" applyFont="1" applyBorder="1" applyAlignment="1">
      <alignment horizontal="center" vertical="center"/>
    </xf>
    <xf numFmtId="0" fontId="61" fillId="0" borderId="0" xfId="0" applyFont="1" applyAlignment="1">
      <alignment horizontal="center" vertical="center"/>
    </xf>
    <xf numFmtId="0" fontId="4" fillId="0" borderId="2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61" xfId="0" applyFont="1" applyBorder="1" applyAlignment="1">
      <alignment vertical="center" wrapText="1"/>
    </xf>
    <xf numFmtId="0" fontId="4" fillId="0" borderId="40" xfId="0" applyFont="1" applyBorder="1" applyAlignment="1">
      <alignment horizontal="center" vertical="center" wrapText="1"/>
    </xf>
    <xf numFmtId="0" fontId="13" fillId="3" borderId="62" xfId="0" applyFont="1" applyFill="1" applyBorder="1" applyAlignment="1">
      <alignment vertical="center" wrapText="1"/>
    </xf>
    <xf numFmtId="0" fontId="13" fillId="3" borderId="47" xfId="0" applyFont="1" applyFill="1" applyBorder="1" applyAlignment="1">
      <alignment horizontal="center" vertical="center" wrapText="1"/>
    </xf>
    <xf numFmtId="0" fontId="4" fillId="0" borderId="126" xfId="0" applyFont="1" applyBorder="1" applyAlignment="1">
      <alignment vertical="center" wrapText="1"/>
    </xf>
    <xf numFmtId="0" fontId="4" fillId="0" borderId="98" xfId="0" applyFont="1" applyBorder="1" applyAlignment="1">
      <alignment horizontal="center" vertical="center" wrapText="1"/>
    </xf>
    <xf numFmtId="0" fontId="6" fillId="5" borderId="128" xfId="0" applyFont="1" applyFill="1" applyBorder="1" applyAlignment="1">
      <alignment vertical="center" wrapText="1"/>
    </xf>
    <xf numFmtId="0" fontId="6" fillId="5" borderId="129" xfId="0" applyFont="1" applyFill="1" applyBorder="1" applyAlignment="1">
      <alignment vertical="center" wrapText="1"/>
    </xf>
    <xf numFmtId="0" fontId="79" fillId="0" borderId="0" xfId="0" applyFont="1" applyAlignment="1">
      <alignment horizontal="center" vertical="center"/>
    </xf>
    <xf numFmtId="0" fontId="87" fillId="0" borderId="0" xfId="0" applyFont="1" applyAlignment="1">
      <alignment horizontal="left" vertical="center" indent="5"/>
    </xf>
    <xf numFmtId="0" fontId="88" fillId="0" borderId="0" xfId="0" applyFont="1" applyAlignment="1">
      <alignment horizontal="center" vertical="center"/>
    </xf>
    <xf numFmtId="0" fontId="36" fillId="0" borderId="0" xfId="0" applyFont="1" applyAlignment="1">
      <alignment horizontal="left" vertical="center" indent="1"/>
    </xf>
    <xf numFmtId="0" fontId="46" fillId="0" borderId="0" xfId="0" applyFont="1" applyAlignment="1">
      <alignment horizontal="right" vertical="center"/>
    </xf>
    <xf numFmtId="0" fontId="91" fillId="0" borderId="0" xfId="0" applyFont="1" applyAlignment="1">
      <alignment horizontal="right" vertical="center"/>
    </xf>
    <xf numFmtId="0" fontId="38" fillId="0" borderId="0" xfId="0" applyFont="1" applyAlignment="1">
      <alignment horizontal="left" vertical="center" indent="4"/>
    </xf>
    <xf numFmtId="0" fontId="86" fillId="0" borderId="0" xfId="0" applyFont="1" applyAlignment="1">
      <alignment horizontal="left" vertical="center" indent="1"/>
    </xf>
    <xf numFmtId="0" fontId="94" fillId="0" borderId="0" xfId="0" applyFont="1" applyAlignment="1">
      <alignment vertical="center"/>
    </xf>
    <xf numFmtId="0" fontId="96" fillId="0" borderId="0" xfId="0" applyFont="1" applyAlignment="1">
      <alignment vertical="center"/>
    </xf>
    <xf numFmtId="0" fontId="33" fillId="0" borderId="0" xfId="0" applyFont="1" applyAlignment="1">
      <alignment vertical="center"/>
    </xf>
    <xf numFmtId="0" fontId="102" fillId="12" borderId="62" xfId="0" applyFont="1" applyFill="1" applyBorder="1" applyAlignment="1">
      <alignment horizontal="center" vertical="center" wrapText="1"/>
    </xf>
    <xf numFmtId="0" fontId="102" fillId="12" borderId="47" xfId="0" applyFont="1" applyFill="1" applyBorder="1" applyAlignment="1">
      <alignment horizontal="center" vertical="center" wrapText="1"/>
    </xf>
    <xf numFmtId="0" fontId="102" fillId="12" borderId="48" xfId="0" applyFont="1" applyFill="1" applyBorder="1" applyAlignment="1">
      <alignment horizontal="center" vertical="center" wrapText="1"/>
    </xf>
    <xf numFmtId="0" fontId="19" fillId="0" borderId="61" xfId="0" applyFont="1" applyBorder="1" applyAlignment="1">
      <alignment vertical="center" wrapText="1"/>
    </xf>
    <xf numFmtId="0" fontId="19" fillId="0" borderId="41" xfId="0" applyFont="1" applyBorder="1" applyAlignment="1">
      <alignment vertical="center" wrapText="1"/>
    </xf>
    <xf numFmtId="0" fontId="34" fillId="3" borderId="62" xfId="0" applyFont="1" applyFill="1" applyBorder="1" applyAlignment="1">
      <alignment vertical="center" wrapText="1"/>
    </xf>
    <xf numFmtId="0" fontId="103" fillId="0" borderId="0" xfId="0" applyFont="1" applyAlignment="1">
      <alignment horizontal="center" vertical="center"/>
    </xf>
    <xf numFmtId="0" fontId="1" fillId="0" borderId="0" xfId="0" applyFont="1" applyAlignment="1">
      <alignment horizontal="left" vertical="center" indent="3"/>
    </xf>
    <xf numFmtId="0" fontId="7" fillId="0" borderId="0" xfId="0" applyFont="1" applyAlignment="1">
      <alignment horizontal="left" vertical="center" indent="9"/>
    </xf>
    <xf numFmtId="0" fontId="54" fillId="0" borderId="0" xfId="0" applyFont="1" applyAlignment="1">
      <alignment horizontal="left" vertical="center" indent="9"/>
    </xf>
    <xf numFmtId="0" fontId="7" fillId="3" borderId="19" xfId="0" applyFont="1" applyFill="1" applyBorder="1" applyAlignment="1">
      <alignment horizontal="center" vertical="center" wrapText="1"/>
    </xf>
    <xf numFmtId="0" fontId="7" fillId="2" borderId="26" xfId="0" applyFont="1" applyFill="1" applyBorder="1" applyAlignment="1">
      <alignment vertical="center" wrapText="1"/>
    </xf>
    <xf numFmtId="0" fontId="7" fillId="2" borderId="27" xfId="0" applyFont="1" applyFill="1" applyBorder="1" applyAlignment="1">
      <alignment vertical="center" wrapText="1"/>
    </xf>
    <xf numFmtId="0" fontId="7" fillId="0" borderId="30" xfId="0" applyFont="1" applyBorder="1" applyAlignment="1">
      <alignment vertical="center" wrapText="1"/>
    </xf>
    <xf numFmtId="0" fontId="14" fillId="2" borderId="30" xfId="0" applyFont="1" applyFill="1" applyBorder="1" applyAlignment="1">
      <alignment vertical="center" wrapText="1"/>
    </xf>
    <xf numFmtId="0" fontId="7" fillId="0" borderId="23" xfId="0" applyFont="1" applyBorder="1" applyAlignment="1">
      <alignment horizontal="center" vertical="center" wrapText="1"/>
    </xf>
    <xf numFmtId="0" fontId="7" fillId="0" borderId="29" xfId="0" applyFont="1" applyBorder="1" applyAlignment="1">
      <alignment horizontal="center" vertical="center" wrapText="1"/>
    </xf>
    <xf numFmtId="0" fontId="1" fillId="3" borderId="30" xfId="0" applyFont="1" applyFill="1" applyBorder="1" applyAlignment="1">
      <alignment vertical="center" wrapText="1"/>
    </xf>
    <xf numFmtId="0" fontId="1" fillId="3" borderId="34" xfId="0" applyFont="1" applyFill="1" applyBorder="1" applyAlignment="1">
      <alignment vertical="center" wrapText="1"/>
    </xf>
    <xf numFmtId="0" fontId="1" fillId="3" borderId="44" xfId="0" applyFont="1" applyFill="1" applyBorder="1" applyAlignment="1">
      <alignment horizontal="center" vertical="center" wrapText="1"/>
    </xf>
    <xf numFmtId="0" fontId="1" fillId="3" borderId="45" xfId="0" applyFont="1" applyFill="1" applyBorder="1" applyAlignment="1">
      <alignment horizontal="center" vertical="center" wrapText="1"/>
    </xf>
    <xf numFmtId="0" fontId="7" fillId="0" borderId="40" xfId="0" applyFont="1" applyBorder="1" applyAlignment="1">
      <alignment horizontal="center" vertical="center" wrapText="1"/>
    </xf>
    <xf numFmtId="0" fontId="7" fillId="0" borderId="41" xfId="0" applyFont="1" applyBorder="1" applyAlignment="1">
      <alignment horizontal="center" vertical="center" wrapText="1"/>
    </xf>
    <xf numFmtId="0" fontId="1" fillId="3" borderId="47" xfId="0" applyFont="1" applyFill="1" applyBorder="1" applyAlignment="1">
      <alignment horizontal="center" vertical="center" wrapText="1"/>
    </xf>
    <xf numFmtId="0" fontId="7" fillId="3" borderId="48"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9" fillId="2" borderId="62"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3" borderId="21" xfId="0" applyFont="1" applyFill="1" applyBorder="1" applyAlignment="1">
      <alignment vertical="center" wrapText="1"/>
    </xf>
    <xf numFmtId="0" fontId="1" fillId="2" borderId="62" xfId="0" applyFont="1" applyFill="1" applyBorder="1" applyAlignment="1">
      <alignment horizontal="center" vertical="center" wrapText="1"/>
    </xf>
    <xf numFmtId="0" fontId="7" fillId="0" borderId="23" xfId="0" applyFont="1" applyBorder="1" applyAlignment="1">
      <alignment horizontal="justify" vertical="center" wrapText="1"/>
    </xf>
    <xf numFmtId="0" fontId="83" fillId="0" borderId="0" xfId="0" applyFont="1" applyAlignment="1">
      <alignment horizontal="left" vertical="center" indent="1"/>
    </xf>
    <xf numFmtId="0" fontId="14" fillId="5" borderId="30" xfId="0" applyFont="1" applyFill="1" applyBorder="1" applyAlignment="1">
      <alignment horizontal="center" vertical="center" wrapText="1"/>
    </xf>
    <xf numFmtId="0" fontId="1" fillId="3" borderId="25" xfId="0" applyFont="1" applyFill="1" applyBorder="1" applyAlignment="1">
      <alignment vertical="center" wrapText="1"/>
    </xf>
    <xf numFmtId="0" fontId="14" fillId="4" borderId="62" xfId="0" applyFont="1" applyFill="1" applyBorder="1" applyAlignment="1">
      <alignment vertical="center" wrapText="1"/>
    </xf>
    <xf numFmtId="0" fontId="7" fillId="0" borderId="126" xfId="0" applyFont="1" applyBorder="1" applyAlignment="1">
      <alignment vertical="center" wrapText="1"/>
    </xf>
    <xf numFmtId="0" fontId="7" fillId="0" borderId="98" xfId="0" applyFont="1" applyBorder="1" applyAlignment="1">
      <alignment vertical="center" wrapText="1"/>
    </xf>
    <xf numFmtId="0" fontId="104" fillId="0" borderId="0" xfId="0" applyFont="1" applyAlignment="1">
      <alignment horizontal="center" vertical="center"/>
    </xf>
    <xf numFmtId="0" fontId="54" fillId="0" borderId="0" xfId="0" applyFont="1" applyAlignment="1">
      <alignment horizontal="left" vertical="center" indent="4"/>
    </xf>
    <xf numFmtId="0" fontId="106" fillId="0" borderId="0" xfId="0" applyFont="1" applyAlignment="1">
      <alignment horizontal="left" vertical="center" indent="1"/>
    </xf>
    <xf numFmtId="0" fontId="108" fillId="0" borderId="0" xfId="0" applyFont="1" applyAlignment="1">
      <alignment horizontal="left" vertical="center" indent="1"/>
    </xf>
    <xf numFmtId="0" fontId="66" fillId="0" borderId="0" xfId="0" applyFont="1" applyAlignment="1">
      <alignment horizontal="center" vertical="center"/>
    </xf>
    <xf numFmtId="0" fontId="37" fillId="12" borderId="3" xfId="0" applyFont="1" applyFill="1" applyBorder="1" applyAlignment="1">
      <alignment vertical="center" wrapText="1"/>
    </xf>
    <xf numFmtId="0" fontId="37" fillId="12" borderId="19" xfId="0" applyFont="1" applyFill="1" applyBorder="1" applyAlignment="1">
      <alignment vertical="center" wrapText="1"/>
    </xf>
    <xf numFmtId="0" fontId="21" fillId="3" borderId="19" xfId="0" applyFont="1" applyFill="1" applyBorder="1" applyAlignment="1">
      <alignment vertical="center" wrapText="1"/>
    </xf>
    <xf numFmtId="0" fontId="86" fillId="0" borderId="0" xfId="0" applyFont="1" applyAlignment="1">
      <alignment horizontal="center" vertical="center"/>
    </xf>
    <xf numFmtId="0" fontId="14" fillId="12" borderId="20" xfId="0" applyFont="1" applyFill="1" applyBorder="1" applyAlignment="1">
      <alignment horizontal="center" vertical="center" wrapText="1"/>
    </xf>
    <xf numFmtId="0" fontId="1" fillId="0" borderId="15" xfId="0" applyFont="1" applyBorder="1" applyAlignment="1">
      <alignment vertical="center" wrapText="1"/>
    </xf>
    <xf numFmtId="0" fontId="43" fillId="0" borderId="15" xfId="0" applyFont="1" applyBorder="1" applyAlignment="1">
      <alignment vertical="center" wrapText="1"/>
    </xf>
    <xf numFmtId="0" fontId="43" fillId="0" borderId="15" xfId="0" applyFont="1" applyBorder="1" applyAlignment="1">
      <alignment horizontal="left" vertical="center" wrapText="1" indent="1"/>
    </xf>
    <xf numFmtId="0" fontId="43" fillId="0" borderId="21" xfId="0" applyFont="1" applyBorder="1" applyAlignment="1">
      <alignment horizontal="left" vertical="center" wrapText="1" indent="1"/>
    </xf>
    <xf numFmtId="0" fontId="91" fillId="0" borderId="15" xfId="0" applyFont="1" applyBorder="1" applyAlignment="1">
      <alignment horizontal="left" vertical="center" wrapText="1" indent="1"/>
    </xf>
    <xf numFmtId="0" fontId="91" fillId="0" borderId="21" xfId="0" applyFont="1" applyBorder="1" applyAlignment="1">
      <alignment horizontal="left" vertical="center" wrapText="1" indent="1"/>
    </xf>
    <xf numFmtId="0" fontId="43" fillId="0" borderId="21" xfId="0" applyFont="1" applyBorder="1" applyAlignment="1">
      <alignment vertical="center" wrapText="1"/>
    </xf>
    <xf numFmtId="0" fontId="91" fillId="0" borderId="15" xfId="0" applyFont="1" applyBorder="1" applyAlignment="1">
      <alignment vertical="center" wrapText="1"/>
    </xf>
    <xf numFmtId="0" fontId="91" fillId="0" borderId="21" xfId="0" applyFont="1" applyBorder="1" applyAlignment="1">
      <alignment vertical="center" wrapText="1"/>
    </xf>
    <xf numFmtId="0" fontId="1" fillId="3" borderId="15" xfId="0" applyFont="1" applyFill="1" applyBorder="1" applyAlignment="1">
      <alignment horizontal="center" vertical="center" wrapText="1"/>
    </xf>
    <xf numFmtId="0" fontId="35" fillId="0" borderId="0" xfId="0" applyFont="1" applyAlignment="1">
      <alignment horizontal="justify" vertical="center"/>
    </xf>
    <xf numFmtId="0" fontId="109" fillId="0" borderId="0" xfId="0" applyFont="1" applyAlignment="1">
      <alignment horizontal="center" vertical="center"/>
    </xf>
    <xf numFmtId="0" fontId="92" fillId="0" borderId="0" xfId="0" applyFont="1" applyAlignment="1">
      <alignment vertical="center" wrapText="1"/>
    </xf>
    <xf numFmtId="0" fontId="92" fillId="0" borderId="71" xfId="0" applyFont="1" applyBorder="1" applyAlignment="1">
      <alignment vertical="center" wrapText="1"/>
    </xf>
    <xf numFmtId="0" fontId="98" fillId="0" borderId="0" xfId="0" applyFont="1" applyAlignment="1">
      <alignment horizontal="left" vertical="center" indent="5"/>
    </xf>
    <xf numFmtId="0" fontId="92" fillId="0" borderId="0" xfId="0" applyFont="1" applyBorder="1" applyAlignment="1">
      <alignment vertical="center" wrapText="1"/>
    </xf>
    <xf numFmtId="0" fontId="93" fillId="15" borderId="70" xfId="0" applyFont="1" applyFill="1" applyBorder="1" applyAlignment="1">
      <alignment vertical="center" wrapText="1"/>
    </xf>
    <xf numFmtId="0" fontId="92" fillId="0" borderId="23" xfId="0" applyFont="1" applyBorder="1" applyAlignment="1">
      <alignment vertical="center" wrapText="1"/>
    </xf>
    <xf numFmtId="0" fontId="93" fillId="0" borderId="23" xfId="0" applyFont="1" applyBorder="1" applyAlignment="1">
      <alignment vertical="center" wrapText="1"/>
    </xf>
    <xf numFmtId="0" fontId="92" fillId="0" borderId="28" xfId="0" applyFont="1" applyBorder="1" applyAlignment="1">
      <alignment vertical="center" wrapText="1"/>
    </xf>
    <xf numFmtId="0" fontId="92" fillId="0" borderId="30" xfId="0" applyFont="1" applyBorder="1" applyAlignment="1">
      <alignment vertical="center" wrapText="1"/>
    </xf>
    <xf numFmtId="0" fontId="93" fillId="0" borderId="0" xfId="0" applyFont="1" applyBorder="1" applyAlignment="1">
      <alignment vertical="center" wrapText="1"/>
    </xf>
    <xf numFmtId="0" fontId="93" fillId="15" borderId="25" xfId="0" applyFont="1" applyFill="1" applyBorder="1" applyAlignment="1">
      <alignment vertical="center" wrapText="1"/>
    </xf>
    <xf numFmtId="0" fontId="92" fillId="0" borderId="26" xfId="0" applyFont="1" applyBorder="1" applyAlignment="1">
      <alignment vertical="center" wrapText="1"/>
    </xf>
    <xf numFmtId="0" fontId="93" fillId="15" borderId="28" xfId="0" applyFont="1" applyFill="1" applyBorder="1" applyAlignment="1">
      <alignment vertical="center" wrapText="1"/>
    </xf>
    <xf numFmtId="0" fontId="93" fillId="15" borderId="61" xfId="0" applyFont="1" applyFill="1" applyBorder="1" applyAlignment="1">
      <alignment vertical="center" wrapText="1"/>
    </xf>
    <xf numFmtId="0" fontId="92" fillId="0" borderId="40" xfId="0" applyFont="1" applyBorder="1" applyAlignment="1">
      <alignment vertical="center" wrapText="1"/>
    </xf>
    <xf numFmtId="0" fontId="93" fillId="15" borderId="62" xfId="0" applyFont="1" applyFill="1" applyBorder="1" applyAlignment="1">
      <alignment vertical="center" wrapText="1"/>
    </xf>
    <xf numFmtId="0" fontId="93" fillId="0" borderId="47" xfId="0" applyFont="1" applyBorder="1" applyAlignment="1">
      <alignment vertical="center" wrapText="1"/>
    </xf>
    <xf numFmtId="0" fontId="93" fillId="15" borderId="66" xfId="0" applyFont="1" applyFill="1" applyBorder="1" applyAlignment="1">
      <alignment vertical="center" wrapText="1"/>
    </xf>
    <xf numFmtId="0" fontId="92" fillId="0" borderId="61" xfId="0" applyFont="1" applyBorder="1" applyAlignment="1">
      <alignment vertical="center" wrapText="1"/>
    </xf>
    <xf numFmtId="0" fontId="92" fillId="0" borderId="34" xfId="0" applyFont="1" applyBorder="1" applyAlignment="1">
      <alignment vertical="center" wrapText="1"/>
    </xf>
    <xf numFmtId="0" fontId="93" fillId="15" borderId="57" xfId="0" applyFont="1" applyFill="1" applyBorder="1" applyAlignment="1">
      <alignment vertical="center" wrapText="1"/>
    </xf>
    <xf numFmtId="0" fontId="93" fillId="0" borderId="62" xfId="0" applyFont="1" applyBorder="1" applyAlignment="1">
      <alignment vertical="center" wrapText="1"/>
    </xf>
    <xf numFmtId="0" fontId="57" fillId="0" borderId="0" xfId="0" applyFont="1" applyAlignment="1">
      <alignment vertical="center"/>
    </xf>
    <xf numFmtId="0" fontId="73" fillId="0" borderId="0" xfId="0" applyFont="1" applyAlignment="1">
      <alignment horizontal="left" vertical="center" indent="10"/>
    </xf>
    <xf numFmtId="0" fontId="34" fillId="15" borderId="60" xfId="0" applyFont="1" applyFill="1" applyBorder="1" applyAlignment="1">
      <alignment vertical="center" wrapText="1"/>
    </xf>
    <xf numFmtId="0" fontId="14" fillId="8" borderId="60" xfId="0" applyFont="1" applyFill="1" applyBorder="1" applyAlignment="1">
      <alignment vertical="center" wrapText="1"/>
    </xf>
    <xf numFmtId="0" fontId="19" fillId="0" borderId="24" xfId="0" applyFont="1" applyBorder="1" applyAlignment="1">
      <alignment vertical="center" wrapText="1"/>
    </xf>
    <xf numFmtId="0" fontId="40" fillId="0" borderId="0" xfId="0" applyFont="1" applyAlignment="1">
      <alignment horizontal="left" vertical="center" indent="3"/>
    </xf>
    <xf numFmtId="0" fontId="10" fillId="0" borderId="28" xfId="0" applyFont="1" applyBorder="1" applyAlignment="1">
      <alignment vertical="center" wrapText="1"/>
    </xf>
    <xf numFmtId="0" fontId="96" fillId="0" borderId="28" xfId="0" applyFont="1" applyBorder="1" applyAlignment="1">
      <alignment horizontal="left" vertical="center" wrapText="1" indent="5"/>
    </xf>
    <xf numFmtId="0" fontId="10" fillId="0" borderId="30" xfId="0" applyFont="1" applyBorder="1" applyAlignment="1">
      <alignment vertical="center" wrapText="1"/>
    </xf>
    <xf numFmtId="0" fontId="10" fillId="0" borderId="31" xfId="0" applyFont="1" applyBorder="1" applyAlignment="1">
      <alignment vertical="center" wrapText="1"/>
    </xf>
    <xf numFmtId="0" fontId="10" fillId="0" borderId="34" xfId="0" applyFont="1" applyBorder="1" applyAlignment="1">
      <alignment vertical="center" wrapText="1"/>
    </xf>
    <xf numFmtId="0" fontId="33" fillId="3" borderId="62" xfId="0" applyFont="1" applyFill="1" applyBorder="1" applyAlignment="1">
      <alignment vertical="center" wrapText="1"/>
    </xf>
    <xf numFmtId="0" fontId="96" fillId="0" borderId="61" xfId="0" applyFont="1" applyBorder="1" applyAlignment="1">
      <alignment horizontal="left" vertical="center" wrapText="1" indent="5"/>
    </xf>
    <xf numFmtId="0" fontId="10" fillId="0" borderId="61" xfId="0" applyFont="1" applyBorder="1" applyAlignment="1">
      <alignment vertical="center" wrapText="1"/>
    </xf>
    <xf numFmtId="0" fontId="0" fillId="0" borderId="0" xfId="0" applyAlignment="1">
      <alignment horizontal="left"/>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16" borderId="31" xfId="0" applyFont="1" applyFill="1" applyBorder="1" applyAlignment="1">
      <alignment vertical="center" wrapText="1"/>
    </xf>
    <xf numFmtId="0" fontId="19" fillId="16" borderId="32" xfId="0" applyFont="1" applyFill="1" applyBorder="1" applyAlignment="1">
      <alignment vertical="center" wrapText="1"/>
    </xf>
    <xf numFmtId="0" fontId="19" fillId="0" borderId="41" xfId="0" applyFont="1" applyBorder="1" applyAlignment="1">
      <alignment horizontal="center" vertical="center" wrapText="1"/>
    </xf>
    <xf numFmtId="0" fontId="19" fillId="16" borderId="27" xfId="0" applyFont="1" applyFill="1" applyBorder="1" applyAlignment="1">
      <alignment horizontal="center" vertical="center" wrapText="1"/>
    </xf>
    <xf numFmtId="0" fontId="19" fillId="0" borderId="34" xfId="0" applyFont="1" applyBorder="1" applyAlignment="1">
      <alignment horizontal="center" vertical="center" wrapText="1"/>
    </xf>
    <xf numFmtId="0" fontId="19" fillId="0" borderId="45" xfId="0" applyFont="1" applyBorder="1" applyAlignment="1">
      <alignment horizontal="center" vertical="center" wrapText="1"/>
    </xf>
    <xf numFmtId="0" fontId="115" fillId="12" borderId="32" xfId="0" applyFont="1" applyFill="1" applyBorder="1" applyAlignment="1">
      <alignment horizontal="center" vertical="center" wrapText="1"/>
    </xf>
    <xf numFmtId="0" fontId="19" fillId="0" borderId="58" xfId="0" applyFont="1" applyBorder="1" applyAlignment="1">
      <alignment horizontal="center" vertical="center" wrapText="1"/>
    </xf>
    <xf numFmtId="0" fontId="19" fillId="0" borderId="55"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39" xfId="0" applyFont="1" applyBorder="1" applyAlignment="1">
      <alignment horizontal="center" vertical="center" wrapText="1"/>
    </xf>
    <xf numFmtId="0" fontId="19" fillId="16" borderId="124" xfId="0" applyFont="1" applyFill="1" applyBorder="1" applyAlignment="1">
      <alignment horizontal="center" vertical="center" wrapText="1"/>
    </xf>
    <xf numFmtId="0" fontId="19" fillId="16" borderId="125" xfId="0" applyFont="1" applyFill="1" applyBorder="1" applyAlignment="1">
      <alignment vertical="center" wrapText="1"/>
    </xf>
    <xf numFmtId="0" fontId="19" fillId="0" borderId="42" xfId="0" applyFont="1" applyBorder="1" applyAlignment="1">
      <alignment horizontal="center" vertical="center" wrapText="1"/>
    </xf>
    <xf numFmtId="0" fontId="19" fillId="0" borderId="36" xfId="0" applyFont="1" applyBorder="1" applyAlignment="1">
      <alignment horizontal="center" vertical="center" wrapText="1"/>
    </xf>
    <xf numFmtId="0" fontId="115" fillId="12" borderId="30" xfId="0" applyFont="1" applyFill="1" applyBorder="1" applyAlignment="1">
      <alignment horizontal="center" vertical="center" wrapText="1"/>
    </xf>
    <xf numFmtId="0" fontId="19" fillId="0" borderId="61" xfId="0" applyFont="1" applyBorder="1" applyAlignment="1">
      <alignment horizontal="center" vertical="center" wrapText="1"/>
    </xf>
    <xf numFmtId="0" fontId="19" fillId="16" borderId="25" xfId="0" applyFont="1" applyFill="1" applyBorder="1" applyAlignment="1">
      <alignment horizontal="center" vertical="center" wrapText="1"/>
    </xf>
    <xf numFmtId="0" fontId="19" fillId="16" borderId="30" xfId="0" applyFont="1" applyFill="1" applyBorder="1" applyAlignment="1">
      <alignment vertical="center" wrapText="1"/>
    </xf>
    <xf numFmtId="0" fontId="115" fillId="12" borderId="123" xfId="0" applyFont="1" applyFill="1" applyBorder="1" applyAlignment="1">
      <alignment horizontal="center" vertical="center" wrapText="1"/>
    </xf>
    <xf numFmtId="0" fontId="19" fillId="0" borderId="147" xfId="0" applyFont="1" applyBorder="1" applyAlignment="1">
      <alignment horizontal="center" vertical="center" wrapText="1"/>
    </xf>
    <xf numFmtId="0" fontId="19" fillId="0" borderId="120" xfId="0" applyFont="1" applyBorder="1" applyAlignment="1">
      <alignment horizontal="center" vertical="center" wrapText="1"/>
    </xf>
    <xf numFmtId="0" fontId="19" fillId="0" borderId="148" xfId="0" applyFont="1" applyBorder="1" applyAlignment="1">
      <alignment horizontal="center" vertical="center" wrapText="1"/>
    </xf>
    <xf numFmtId="0" fontId="19" fillId="16" borderId="121" xfId="0" applyFont="1" applyFill="1" applyBorder="1" applyAlignment="1">
      <alignment horizontal="center" vertical="center" wrapText="1"/>
    </xf>
    <xf numFmtId="0" fontId="19" fillId="16" borderId="123" xfId="0" applyFont="1" applyFill="1" applyBorder="1" applyAlignment="1">
      <alignment vertical="center" wrapText="1"/>
    </xf>
    <xf numFmtId="0" fontId="55" fillId="0" borderId="0" xfId="0" applyFont="1" applyBorder="1"/>
    <xf numFmtId="0" fontId="115" fillId="12" borderId="125" xfId="0" applyFont="1" applyFill="1" applyBorder="1" applyAlignment="1">
      <alignment vertical="center" wrapText="1"/>
    </xf>
    <xf numFmtId="0" fontId="116" fillId="12" borderId="31" xfId="0" applyFont="1" applyFill="1" applyBorder="1" applyAlignment="1">
      <alignment horizontal="center" vertical="center" wrapText="1"/>
    </xf>
    <xf numFmtId="0" fontId="116" fillId="12" borderId="32" xfId="0" applyFont="1" applyFill="1" applyBorder="1" applyAlignment="1">
      <alignment horizontal="center" vertical="center" wrapText="1"/>
    </xf>
    <xf numFmtId="0" fontId="19" fillId="16" borderId="26" xfId="0" applyFont="1" applyFill="1" applyBorder="1" applyAlignment="1">
      <alignment vertical="center" wrapText="1"/>
    </xf>
    <xf numFmtId="0" fontId="19" fillId="16" borderId="27" xfId="0" applyFont="1" applyFill="1" applyBorder="1" applyAlignment="1">
      <alignment vertical="center" wrapText="1"/>
    </xf>
    <xf numFmtId="0" fontId="19" fillId="0" borderId="42" xfId="0" applyFont="1" applyBorder="1" applyAlignment="1">
      <alignment vertical="center" wrapText="1"/>
    </xf>
    <xf numFmtId="0" fontId="19" fillId="0" borderId="36" xfId="0" applyFont="1" applyBorder="1" applyAlignment="1">
      <alignment vertical="center" wrapText="1"/>
    </xf>
    <xf numFmtId="0" fontId="19" fillId="0" borderId="53" xfId="0" applyFont="1" applyBorder="1" applyAlignment="1">
      <alignment vertical="center" wrapText="1"/>
    </xf>
    <xf numFmtId="0" fontId="19" fillId="0" borderId="50" xfId="0" applyFont="1" applyBorder="1" applyAlignment="1">
      <alignment vertical="center" wrapText="1"/>
    </xf>
    <xf numFmtId="0" fontId="14" fillId="12" borderId="119" xfId="0" applyFont="1" applyFill="1" applyBorder="1" applyAlignment="1">
      <alignment horizontal="center" vertical="center" wrapText="1"/>
    </xf>
    <xf numFmtId="0" fontId="14" fillId="12" borderId="74" xfId="0" applyFont="1" applyFill="1" applyBorder="1" applyAlignment="1">
      <alignment horizontal="center" vertical="center" wrapText="1"/>
    </xf>
    <xf numFmtId="0" fontId="55" fillId="12" borderId="74" xfId="0" applyFont="1" applyFill="1" applyBorder="1" applyAlignment="1">
      <alignment vertical="center" wrapText="1"/>
    </xf>
    <xf numFmtId="0" fontId="116" fillId="12" borderId="75" xfId="0" applyFont="1" applyFill="1" applyBorder="1" applyAlignment="1">
      <alignment horizontal="center" vertical="center" wrapText="1"/>
    </xf>
    <xf numFmtId="0" fontId="19" fillId="0" borderId="76" xfId="0" applyFont="1" applyBorder="1" applyAlignment="1">
      <alignment vertical="center" wrapText="1"/>
    </xf>
    <xf numFmtId="0" fontId="19" fillId="0" borderId="74" xfId="0" applyFont="1" applyBorder="1" applyAlignment="1">
      <alignment vertical="center" wrapText="1"/>
    </xf>
    <xf numFmtId="0" fontId="19" fillId="0" borderId="77" xfId="0" applyFont="1" applyBorder="1" applyAlignment="1">
      <alignment vertical="center" wrapText="1"/>
    </xf>
    <xf numFmtId="0" fontId="19" fillId="16" borderId="119" xfId="0" applyFont="1" applyFill="1" applyBorder="1" applyAlignment="1">
      <alignment vertical="center" wrapText="1"/>
    </xf>
    <xf numFmtId="0" fontId="19" fillId="16" borderId="75" xfId="0" applyFont="1" applyFill="1" applyBorder="1" applyAlignment="1">
      <alignment vertical="center" wrapText="1"/>
    </xf>
    <xf numFmtId="0" fontId="116" fillId="12" borderId="30" xfId="0" applyFont="1" applyFill="1" applyBorder="1" applyAlignment="1">
      <alignment horizontal="center" vertical="center" wrapText="1"/>
    </xf>
    <xf numFmtId="0" fontId="19" fillId="16" borderId="25" xfId="0" applyFont="1" applyFill="1" applyBorder="1" applyAlignment="1">
      <alignment vertical="center" wrapText="1"/>
    </xf>
    <xf numFmtId="0" fontId="117" fillId="0" borderId="0" xfId="0" applyFont="1" applyAlignment="1">
      <alignment vertical="center"/>
    </xf>
    <xf numFmtId="0" fontId="114" fillId="0" borderId="0" xfId="0" applyFont="1" applyAlignment="1">
      <alignment horizontal="center" vertical="center"/>
    </xf>
    <xf numFmtId="0" fontId="33" fillId="0" borderId="23" xfId="0" applyFont="1" applyBorder="1" applyAlignment="1">
      <alignment horizontal="center" vertical="center" wrapText="1"/>
    </xf>
    <xf numFmtId="0" fontId="33" fillId="0" borderId="28" xfId="0" applyFont="1" applyBorder="1" applyAlignment="1">
      <alignment horizontal="center" vertical="center" wrapText="1"/>
    </xf>
    <xf numFmtId="0" fontId="114" fillId="0" borderId="0" xfId="0" applyFont="1" applyAlignment="1">
      <alignment horizontal="left" vertical="center"/>
    </xf>
    <xf numFmtId="0" fontId="49" fillId="0" borderId="0" xfId="0" applyFont="1" applyAlignment="1">
      <alignment horizontal="center" vertical="center"/>
    </xf>
    <xf numFmtId="164" fontId="7" fillId="0" borderId="42" xfId="1" applyNumberFormat="1" applyFont="1" applyBorder="1" applyAlignment="1">
      <alignment horizontal="right" vertical="center" wrapText="1"/>
    </xf>
    <xf numFmtId="164" fontId="7" fillId="0" borderId="44" xfId="1" applyNumberFormat="1" applyFont="1" applyBorder="1" applyAlignment="1">
      <alignment horizontal="right" vertical="center" wrapText="1"/>
    </xf>
    <xf numFmtId="164" fontId="7" fillId="0" borderId="45" xfId="1" applyNumberFormat="1" applyFont="1" applyBorder="1" applyAlignment="1">
      <alignment horizontal="right" vertical="center" wrapText="1"/>
    </xf>
    <xf numFmtId="164" fontId="7" fillId="0" borderId="36" xfId="1" applyNumberFormat="1" applyFont="1" applyBorder="1" applyAlignment="1">
      <alignment horizontal="right" vertical="center" wrapText="1"/>
    </xf>
    <xf numFmtId="164" fontId="7" fillId="0" borderId="23" xfId="1" applyNumberFormat="1" applyFont="1" applyBorder="1" applyAlignment="1">
      <alignment horizontal="right" vertical="center" wrapText="1"/>
    </xf>
    <xf numFmtId="164" fontId="7" fillId="0" borderId="29" xfId="1" applyNumberFormat="1" applyFont="1" applyBorder="1" applyAlignment="1">
      <alignment horizontal="right" vertical="center" wrapText="1"/>
    </xf>
    <xf numFmtId="164" fontId="7" fillId="0" borderId="40" xfId="1" applyNumberFormat="1" applyFont="1" applyBorder="1" applyAlignment="1">
      <alignment horizontal="right" vertical="center" wrapText="1"/>
    </xf>
    <xf numFmtId="164" fontId="7" fillId="0" borderId="41" xfId="1" applyNumberFormat="1" applyFont="1" applyBorder="1" applyAlignment="1">
      <alignment horizontal="right" vertical="center" wrapText="1"/>
    </xf>
    <xf numFmtId="164" fontId="7" fillId="0" borderId="36" xfId="1" applyNumberFormat="1" applyFont="1" applyBorder="1" applyAlignment="1">
      <alignment vertical="center" wrapText="1"/>
    </xf>
    <xf numFmtId="164" fontId="1" fillId="0" borderId="58" xfId="1" applyNumberFormat="1" applyFont="1" applyBorder="1" applyAlignment="1">
      <alignment horizontal="right" vertical="center" wrapText="1"/>
    </xf>
    <xf numFmtId="164" fontId="1" fillId="0" borderId="55" xfId="1" applyNumberFormat="1" applyFont="1" applyBorder="1" applyAlignment="1">
      <alignment horizontal="right" vertical="center" wrapText="1"/>
    </xf>
    <xf numFmtId="164" fontId="1" fillId="0" borderId="56" xfId="1" applyNumberFormat="1" applyFont="1" applyBorder="1" applyAlignment="1">
      <alignment horizontal="right" vertical="center" wrapText="1"/>
    </xf>
    <xf numFmtId="164" fontId="1" fillId="3" borderId="57" xfId="1" applyNumberFormat="1" applyFont="1" applyFill="1" applyBorder="1" applyAlignment="1">
      <alignment horizontal="right" vertical="center" wrapText="1"/>
    </xf>
    <xf numFmtId="164" fontId="1" fillId="3" borderId="47" xfId="1" applyNumberFormat="1" applyFont="1" applyFill="1" applyBorder="1" applyAlignment="1">
      <alignment horizontal="right" vertical="center" wrapText="1"/>
    </xf>
    <xf numFmtId="164" fontId="7" fillId="0" borderId="58" xfId="1" applyNumberFormat="1" applyFont="1" applyBorder="1" applyAlignment="1">
      <alignment horizontal="right" vertical="center" wrapText="1"/>
    </xf>
    <xf numFmtId="164" fontId="7" fillId="0" borderId="55" xfId="1" applyNumberFormat="1" applyFont="1" applyBorder="1" applyAlignment="1">
      <alignment horizontal="right" vertical="center" wrapText="1"/>
    </xf>
    <xf numFmtId="164" fontId="7" fillId="0" borderId="56" xfId="1" applyNumberFormat="1" applyFont="1" applyBorder="1" applyAlignment="1">
      <alignment horizontal="right" vertical="center" wrapText="1"/>
    </xf>
    <xf numFmtId="164" fontId="7" fillId="3" borderId="57" xfId="1" applyNumberFormat="1" applyFont="1" applyFill="1" applyBorder="1" applyAlignment="1">
      <alignment horizontal="right" vertical="center" wrapText="1"/>
    </xf>
    <xf numFmtId="164" fontId="7" fillId="8" borderId="58" xfId="1" applyNumberFormat="1" applyFont="1" applyFill="1" applyBorder="1" applyAlignment="1">
      <alignment horizontal="right" vertical="center" wrapText="1"/>
    </xf>
    <xf numFmtId="164" fontId="9" fillId="8" borderId="59" xfId="1" applyNumberFormat="1" applyFont="1" applyFill="1" applyBorder="1" applyAlignment="1">
      <alignment horizontal="right" vertical="center" wrapText="1"/>
    </xf>
    <xf numFmtId="164" fontId="7" fillId="3" borderId="24" xfId="1" applyNumberFormat="1" applyFont="1" applyFill="1" applyBorder="1" applyAlignment="1">
      <alignment vertical="center" wrapText="1"/>
    </xf>
    <xf numFmtId="164" fontId="7" fillId="0" borderId="37" xfId="1" applyNumberFormat="1" applyFont="1" applyBorder="1" applyAlignment="1">
      <alignment horizontal="right" vertical="center" wrapText="1"/>
    </xf>
    <xf numFmtId="164" fontId="37" fillId="0" borderId="44" xfId="1" applyNumberFormat="1" applyFont="1" applyBorder="1" applyAlignment="1">
      <alignment vertical="center" wrapText="1"/>
    </xf>
    <xf numFmtId="164" fontId="37" fillId="0" borderId="45" xfId="1" applyNumberFormat="1" applyFont="1" applyBorder="1" applyAlignment="1">
      <alignment vertical="center" wrapText="1"/>
    </xf>
    <xf numFmtId="164" fontId="37" fillId="0" borderId="23" xfId="1" applyNumberFormat="1" applyFont="1" applyBorder="1" applyAlignment="1">
      <alignment vertical="center" wrapText="1"/>
    </xf>
    <xf numFmtId="164" fontId="37" fillId="0" borderId="29" xfId="1" applyNumberFormat="1" applyFont="1" applyBorder="1" applyAlignment="1">
      <alignment vertical="center" wrapText="1"/>
    </xf>
    <xf numFmtId="164" fontId="37" fillId="3" borderId="47" xfId="1" applyNumberFormat="1" applyFont="1" applyFill="1" applyBorder="1" applyAlignment="1">
      <alignment vertical="center" wrapText="1"/>
    </xf>
    <xf numFmtId="164" fontId="3" fillId="0" borderId="53" xfId="1" applyNumberFormat="1" applyFont="1" applyBorder="1" applyAlignment="1">
      <alignment horizontal="center" vertical="center" wrapText="1"/>
    </xf>
    <xf numFmtId="164" fontId="3" fillId="0" borderId="42" xfId="1" applyNumberFormat="1" applyFont="1" applyBorder="1" applyAlignment="1">
      <alignment horizontal="right" vertical="center" wrapText="1"/>
    </xf>
    <xf numFmtId="164" fontId="3" fillId="0" borderId="76" xfId="1" applyNumberFormat="1" applyFont="1" applyBorder="1" applyAlignment="1">
      <alignment horizontal="right" vertical="center" wrapText="1"/>
    </xf>
    <xf numFmtId="164" fontId="3" fillId="0" borderId="50" xfId="1" applyNumberFormat="1" applyFont="1" applyBorder="1" applyAlignment="1">
      <alignment horizontal="center" vertical="center" wrapText="1"/>
    </xf>
    <xf numFmtId="164" fontId="3" fillId="0" borderId="36" xfId="1" applyNumberFormat="1" applyFont="1" applyBorder="1" applyAlignment="1">
      <alignment horizontal="right" vertical="center" wrapText="1"/>
    </xf>
    <xf numFmtId="164" fontId="3" fillId="0" borderId="74" xfId="1" applyNumberFormat="1" applyFont="1" applyBorder="1" applyAlignment="1">
      <alignment horizontal="right" vertical="center" wrapText="1"/>
    </xf>
    <xf numFmtId="164" fontId="3" fillId="0" borderId="73" xfId="1" applyNumberFormat="1" applyFont="1" applyBorder="1" applyAlignment="1">
      <alignment horizontal="center" vertical="center" wrapText="1"/>
    </xf>
    <xf numFmtId="164" fontId="3" fillId="0" borderId="37" xfId="1" applyNumberFormat="1" applyFont="1" applyBorder="1" applyAlignment="1">
      <alignment horizontal="right" vertical="center" wrapText="1"/>
    </xf>
    <xf numFmtId="164" fontId="3" fillId="0" borderId="75" xfId="1" applyNumberFormat="1" applyFont="1" applyBorder="1" applyAlignment="1">
      <alignment horizontal="right" vertical="center" wrapText="1"/>
    </xf>
    <xf numFmtId="164" fontId="7" fillId="0" borderId="45" xfId="1" applyNumberFormat="1" applyFont="1" applyBorder="1" applyAlignment="1">
      <alignment vertical="center" wrapText="1"/>
    </xf>
    <xf numFmtId="164" fontId="7" fillId="0" borderId="29" xfId="1" applyNumberFormat="1" applyFont="1" applyBorder="1" applyAlignment="1">
      <alignment vertical="center" wrapText="1"/>
    </xf>
    <xf numFmtId="164" fontId="7" fillId="0" borderId="41" xfId="1" applyNumberFormat="1" applyFont="1" applyBorder="1" applyAlignment="1">
      <alignment vertical="center" wrapText="1"/>
    </xf>
    <xf numFmtId="164" fontId="1" fillId="3" borderId="47" xfId="1" applyNumberFormat="1" applyFont="1" applyFill="1" applyBorder="1" applyAlignment="1">
      <alignment vertical="center" wrapText="1"/>
    </xf>
    <xf numFmtId="164" fontId="1" fillId="0" borderId="45" xfId="1" applyNumberFormat="1" applyFont="1" applyBorder="1" applyAlignment="1">
      <alignment vertical="center" wrapText="1"/>
    </xf>
    <xf numFmtId="164" fontId="7" fillId="3" borderId="48" xfId="1" applyNumberFormat="1" applyFont="1" applyFill="1" applyBorder="1" applyAlignment="1">
      <alignment vertical="center" wrapText="1"/>
    </xf>
    <xf numFmtId="164" fontId="7" fillId="0" borderId="19" xfId="1" applyNumberFormat="1" applyFont="1" applyBorder="1" applyAlignment="1">
      <alignment vertical="center" wrapText="1"/>
    </xf>
    <xf numFmtId="164" fontId="1" fillId="0" borderId="19" xfId="1" applyNumberFormat="1" applyFont="1" applyBorder="1" applyAlignment="1">
      <alignment vertical="center" wrapText="1"/>
    </xf>
    <xf numFmtId="0" fontId="7" fillId="0" borderId="149" xfId="0" applyFont="1" applyBorder="1" applyAlignment="1">
      <alignment vertical="center" wrapText="1"/>
    </xf>
    <xf numFmtId="0" fontId="15" fillId="0" borderId="14" xfId="0" applyFont="1" applyBorder="1" applyAlignment="1">
      <alignment vertical="center" wrapText="1"/>
    </xf>
    <xf numFmtId="164" fontId="2" fillId="0" borderId="0" xfId="0" applyNumberFormat="1" applyFont="1"/>
    <xf numFmtId="164" fontId="19" fillId="0" borderId="0" xfId="0" applyNumberFormat="1" applyFont="1"/>
    <xf numFmtId="0" fontId="1" fillId="0" borderId="12" xfId="0" applyFont="1" applyBorder="1" applyAlignment="1">
      <alignment vertical="center" wrapText="1"/>
    </xf>
    <xf numFmtId="0" fontId="1" fillId="0" borderId="12" xfId="0" applyFont="1" applyBorder="1" applyAlignment="1">
      <alignment horizontal="center" vertical="center" wrapText="1"/>
    </xf>
    <xf numFmtId="0" fontId="19" fillId="0" borderId="126" xfId="0" applyFont="1" applyBorder="1"/>
    <xf numFmtId="0" fontId="6" fillId="5" borderId="62" xfId="0" applyFont="1" applyFill="1" applyBorder="1" applyAlignment="1">
      <alignment vertical="center" wrapText="1"/>
    </xf>
    <xf numFmtId="0" fontId="14" fillId="2" borderId="47"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20" fillId="0" borderId="0" xfId="0" applyFont="1" applyAlignment="1">
      <alignment horizontal="center"/>
    </xf>
    <xf numFmtId="14" fontId="120" fillId="0" borderId="0" xfId="0" applyNumberFormat="1" applyFont="1" applyAlignment="1">
      <alignment horizontal="center"/>
    </xf>
    <xf numFmtId="0" fontId="10" fillId="0" borderId="0" xfId="0" applyFont="1" applyAlignment="1"/>
    <xf numFmtId="0" fontId="121" fillId="0" borderId="0" xfId="0" applyFont="1" applyAlignment="1">
      <alignment horizontal="left" vertical="center" indent="5"/>
    </xf>
    <xf numFmtId="0" fontId="124" fillId="0" borderId="0" xfId="0" applyFont="1"/>
    <xf numFmtId="0" fontId="0" fillId="0" borderId="0" xfId="0" applyBorder="1"/>
    <xf numFmtId="0" fontId="126" fillId="0" borderId="0" xfId="0" applyFont="1"/>
    <xf numFmtId="0" fontId="1" fillId="3" borderId="0" xfId="0" applyFont="1" applyFill="1" applyBorder="1" applyAlignment="1">
      <alignment vertical="center" wrapText="1"/>
    </xf>
    <xf numFmtId="0" fontId="1" fillId="3" borderId="0" xfId="0" applyFont="1" applyFill="1" applyBorder="1" applyAlignment="1">
      <alignment horizontal="center" vertical="center" wrapText="1"/>
    </xf>
    <xf numFmtId="0" fontId="7" fillId="3" borderId="0"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129" fillId="11" borderId="24" xfId="0" applyFont="1" applyFill="1" applyBorder="1" applyAlignment="1">
      <alignment horizontal="center" vertical="center" wrapText="1"/>
    </xf>
    <xf numFmtId="0" fontId="130" fillId="18" borderId="24" xfId="0" applyFont="1" applyFill="1" applyBorder="1" applyAlignment="1">
      <alignment vertical="center" wrapText="1"/>
    </xf>
    <xf numFmtId="0" fontId="132" fillId="0" borderId="0" xfId="0" applyFont="1"/>
    <xf numFmtId="0" fontId="0" fillId="0" borderId="0" xfId="0" applyAlignment="1">
      <alignment vertical="center"/>
    </xf>
    <xf numFmtId="0" fontId="132" fillId="0" borderId="0" xfId="0" applyFont="1" applyAlignment="1">
      <alignment vertical="center"/>
    </xf>
    <xf numFmtId="0" fontId="55" fillId="0" borderId="0" xfId="0" applyFont="1" applyAlignment="1">
      <alignment vertical="center"/>
    </xf>
    <xf numFmtId="0" fontId="7" fillId="3" borderId="44"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14" fillId="2" borderId="48" xfId="0" applyFont="1" applyFill="1" applyBorder="1" applyAlignment="1">
      <alignment horizontal="justify" vertical="center" wrapText="1"/>
    </xf>
    <xf numFmtId="0" fontId="48" fillId="0" borderId="0" xfId="0" applyFont="1" applyAlignment="1">
      <alignment vertical="center"/>
    </xf>
    <xf numFmtId="0" fontId="50" fillId="0" borderId="0" xfId="0" applyFont="1" applyAlignment="1">
      <alignment vertical="center"/>
    </xf>
    <xf numFmtId="0" fontId="49" fillId="0" borderId="0" xfId="0" applyFont="1" applyAlignment="1">
      <alignment vertical="center"/>
    </xf>
    <xf numFmtId="0" fontId="46" fillId="0" borderId="0" xfId="0" applyFont="1" applyAlignment="1">
      <alignment vertical="center"/>
    </xf>
    <xf numFmtId="0" fontId="47" fillId="0" borderId="0" xfId="0" applyFont="1" applyAlignment="1">
      <alignment vertical="center"/>
    </xf>
    <xf numFmtId="0" fontId="92" fillId="0" borderId="25" xfId="0" applyFont="1" applyBorder="1" applyAlignment="1">
      <alignment vertical="center" wrapText="1"/>
    </xf>
    <xf numFmtId="0" fontId="10" fillId="0" borderId="2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36" fillId="0" borderId="0" xfId="0" applyFont="1"/>
    <xf numFmtId="0" fontId="136" fillId="0" borderId="0" xfId="0" applyFont="1" applyAlignment="1">
      <alignment vertical="center"/>
    </xf>
    <xf numFmtId="0" fontId="137" fillId="0" borderId="154" xfId="0" applyFont="1" applyBorder="1" applyAlignment="1">
      <alignment vertical="center" wrapText="1"/>
    </xf>
    <xf numFmtId="0" fontId="138" fillId="15" borderId="155" xfId="0" applyFont="1" applyFill="1" applyBorder="1" applyAlignment="1">
      <alignment vertical="center" wrapText="1"/>
    </xf>
    <xf numFmtId="0" fontId="137" fillId="0" borderId="156" xfId="0" applyFont="1" applyBorder="1" applyAlignment="1">
      <alignment vertical="center" wrapText="1"/>
    </xf>
    <xf numFmtId="0" fontId="138" fillId="0" borderId="157" xfId="0" applyFont="1" applyBorder="1" applyAlignment="1">
      <alignment vertical="center" wrapText="1"/>
    </xf>
    <xf numFmtId="0" fontId="138" fillId="15" borderId="158" xfId="0" applyFont="1" applyFill="1" applyBorder="1" applyAlignment="1">
      <alignment vertical="center" wrapText="1"/>
    </xf>
    <xf numFmtId="0" fontId="138" fillId="0" borderId="159" xfId="0" applyFont="1" applyBorder="1" applyAlignment="1">
      <alignment vertical="center" wrapText="1"/>
    </xf>
    <xf numFmtId="0" fontId="137" fillId="0" borderId="159" xfId="0" applyFont="1" applyBorder="1" applyAlignment="1">
      <alignment vertical="center" wrapText="1"/>
    </xf>
    <xf numFmtId="0" fontId="137" fillId="0" borderId="157" xfId="0" applyFont="1" applyBorder="1" applyAlignment="1">
      <alignment vertical="center" wrapText="1"/>
    </xf>
    <xf numFmtId="0" fontId="138" fillId="0" borderId="160" xfId="0" applyFont="1" applyBorder="1" applyAlignment="1">
      <alignment vertical="center" wrapText="1"/>
    </xf>
    <xf numFmtId="0" fontId="138" fillId="15" borderId="161" xfId="0" applyFont="1" applyFill="1" applyBorder="1" applyAlignment="1">
      <alignment vertical="center" wrapText="1"/>
    </xf>
    <xf numFmtId="0" fontId="138" fillId="0" borderId="162" xfId="0" applyFont="1" applyBorder="1" applyAlignment="1">
      <alignment vertical="center" wrapText="1"/>
    </xf>
    <xf numFmtId="0" fontId="2" fillId="0" borderId="0" xfId="0" applyFont="1" applyBorder="1" applyProtection="1">
      <protection hidden="1"/>
    </xf>
    <xf numFmtId="0" fontId="2" fillId="19" borderId="0" xfId="0" applyFont="1" applyFill="1" applyBorder="1" applyProtection="1">
      <protection hidden="1"/>
    </xf>
    <xf numFmtId="0" fontId="2" fillId="0" borderId="72" xfId="0" applyFont="1" applyBorder="1" applyProtection="1">
      <protection hidden="1"/>
    </xf>
    <xf numFmtId="0" fontId="2" fillId="0" borderId="71" xfId="0" applyFont="1" applyBorder="1" applyProtection="1">
      <protection hidden="1"/>
    </xf>
    <xf numFmtId="0" fontId="2" fillId="0" borderId="70" xfId="0" applyFont="1" applyBorder="1" applyProtection="1">
      <protection hidden="1"/>
    </xf>
    <xf numFmtId="0" fontId="2" fillId="19" borderId="76" xfId="0" applyFont="1" applyFill="1" applyBorder="1" applyProtection="1">
      <protection hidden="1"/>
    </xf>
    <xf numFmtId="0" fontId="2" fillId="19" borderId="53" xfId="0" applyFont="1" applyFill="1" applyBorder="1" applyProtection="1">
      <protection hidden="1"/>
    </xf>
    <xf numFmtId="0" fontId="2" fillId="19" borderId="147" xfId="0" applyFont="1" applyFill="1" applyBorder="1" applyProtection="1">
      <protection hidden="1"/>
    </xf>
    <xf numFmtId="0" fontId="2" fillId="19" borderId="43" xfId="0" applyFont="1" applyFill="1" applyBorder="1" applyProtection="1">
      <protection hidden="1"/>
    </xf>
    <xf numFmtId="0" fontId="2" fillId="0" borderId="66" xfId="0" applyFont="1" applyBorder="1" applyProtection="1">
      <protection hidden="1"/>
    </xf>
    <xf numFmtId="0" fontId="2" fillId="0" borderId="77" xfId="0" applyFont="1" applyBorder="1" applyProtection="1">
      <protection hidden="1"/>
    </xf>
    <xf numFmtId="0" fontId="2" fillId="0" borderId="51" xfId="0" applyFont="1" applyBorder="1" applyProtection="1">
      <protection hidden="1"/>
    </xf>
    <xf numFmtId="0" fontId="139" fillId="0" borderId="51" xfId="0" applyFont="1" applyBorder="1" applyAlignment="1" applyProtection="1">
      <alignment horizontal="right"/>
      <protection hidden="1"/>
    </xf>
    <xf numFmtId="0" fontId="2" fillId="0" borderId="148" xfId="0" applyFont="1" applyBorder="1" applyProtection="1">
      <protection hidden="1"/>
    </xf>
    <xf numFmtId="0" fontId="139" fillId="19" borderId="53" xfId="0" applyFont="1" applyFill="1" applyBorder="1" applyAlignment="1" applyProtection="1">
      <alignment horizontal="right"/>
      <protection hidden="1"/>
    </xf>
    <xf numFmtId="0" fontId="139" fillId="19" borderId="77" xfId="0" applyFont="1" applyFill="1" applyBorder="1" applyAlignment="1" applyProtection="1">
      <alignment horizontal="center"/>
      <protection hidden="1"/>
    </xf>
    <xf numFmtId="0" fontId="139" fillId="19" borderId="51" xfId="0" applyFont="1" applyFill="1" applyBorder="1" applyAlignment="1" applyProtection="1">
      <alignment horizontal="center"/>
      <protection hidden="1"/>
    </xf>
    <xf numFmtId="0" fontId="139" fillId="19" borderId="148" xfId="0" applyFont="1" applyFill="1" applyBorder="1" applyAlignment="1" applyProtection="1">
      <alignment horizontal="center"/>
      <protection hidden="1"/>
    </xf>
    <xf numFmtId="0" fontId="2" fillId="19" borderId="69" xfId="0" applyFont="1" applyFill="1" applyBorder="1" applyProtection="1">
      <protection hidden="1"/>
    </xf>
    <xf numFmtId="0" fontId="2" fillId="0" borderId="69" xfId="0" applyFont="1" applyBorder="1" applyProtection="1">
      <protection hidden="1"/>
    </xf>
    <xf numFmtId="0" fontId="2" fillId="0" borderId="0" xfId="0" applyFont="1" applyBorder="1" applyAlignment="1" applyProtection="1">
      <alignment horizontal="right"/>
      <protection hidden="1"/>
    </xf>
    <xf numFmtId="0" fontId="142" fillId="0" borderId="0" xfId="0" applyFont="1" applyBorder="1" applyProtection="1">
      <protection hidden="1"/>
    </xf>
    <xf numFmtId="0" fontId="140" fillId="0" borderId="76" xfId="0" applyFont="1" applyBorder="1" applyAlignment="1" applyProtection="1">
      <alignment horizontal="center"/>
      <protection hidden="1"/>
    </xf>
    <xf numFmtId="0" fontId="140" fillId="0" borderId="53" xfId="0" applyFont="1" applyBorder="1" applyAlignment="1" applyProtection="1">
      <alignment horizontal="center"/>
      <protection hidden="1"/>
    </xf>
    <xf numFmtId="0" fontId="140" fillId="0" borderId="53" xfId="0" applyFont="1" applyBorder="1" applyAlignment="1" applyProtection="1">
      <alignment horizontal="left"/>
      <protection hidden="1"/>
    </xf>
    <xf numFmtId="0" fontId="140" fillId="0" borderId="66" xfId="0" applyFont="1" applyBorder="1" applyAlignment="1" applyProtection="1">
      <alignment horizontal="center"/>
      <protection hidden="1"/>
    </xf>
    <xf numFmtId="0" fontId="2" fillId="0" borderId="69" xfId="0" applyFont="1" applyBorder="1" applyAlignment="1" applyProtection="1">
      <alignment horizontal="center"/>
      <protection hidden="1"/>
    </xf>
    <xf numFmtId="0" fontId="2" fillId="0" borderId="0" xfId="0" applyFont="1" applyBorder="1" applyAlignment="1" applyProtection="1">
      <alignment horizontal="center"/>
      <protection hidden="1"/>
    </xf>
    <xf numFmtId="0" fontId="2" fillId="0" borderId="66" xfId="0" applyFont="1" applyBorder="1" applyAlignment="1" applyProtection="1">
      <alignment horizontal="left"/>
      <protection hidden="1"/>
    </xf>
    <xf numFmtId="3" fontId="140" fillId="19" borderId="0" xfId="0" applyNumberFormat="1" applyFont="1" applyFill="1" applyBorder="1" applyProtection="1">
      <protection hidden="1"/>
    </xf>
    <xf numFmtId="0" fontId="140" fillId="0" borderId="66" xfId="0" applyFont="1" applyBorder="1" applyAlignment="1" applyProtection="1">
      <alignment horizontal="left"/>
      <protection hidden="1"/>
    </xf>
    <xf numFmtId="0" fontId="140" fillId="19" borderId="0" xfId="0" applyFont="1" applyFill="1" applyBorder="1" applyProtection="1">
      <protection hidden="1"/>
    </xf>
    <xf numFmtId="0" fontId="2" fillId="0" borderId="164" xfId="0" applyFont="1" applyBorder="1" applyProtection="1">
      <protection hidden="1"/>
    </xf>
    <xf numFmtId="0" fontId="140" fillId="19" borderId="0" xfId="0" applyFont="1" applyFill="1" applyBorder="1" applyAlignment="1" applyProtection="1">
      <alignment horizontal="center"/>
      <protection hidden="1"/>
    </xf>
    <xf numFmtId="0" fontId="2" fillId="0" borderId="76" xfId="0" applyFont="1" applyBorder="1" applyAlignment="1" applyProtection="1">
      <alignment horizontal="left"/>
      <protection hidden="1"/>
    </xf>
    <xf numFmtId="49" fontId="2" fillId="0" borderId="0" xfId="0" applyNumberFormat="1" applyFont="1" applyBorder="1" applyAlignment="1" applyProtection="1">
      <alignment horizontal="center" vertical="center"/>
      <protection hidden="1"/>
    </xf>
    <xf numFmtId="0" fontId="140" fillId="0" borderId="0" xfId="0" applyFont="1" applyBorder="1" applyAlignment="1" applyProtection="1">
      <alignment horizontal="center"/>
      <protection hidden="1"/>
    </xf>
    <xf numFmtId="0" fontId="139" fillId="0" borderId="0" xfId="0" applyFont="1" applyBorder="1" applyAlignment="1" applyProtection="1">
      <alignment horizontal="left"/>
      <protection hidden="1"/>
    </xf>
    <xf numFmtId="0" fontId="140" fillId="0" borderId="0" xfId="0" applyFont="1" applyBorder="1" applyAlignment="1" applyProtection="1">
      <alignment horizontal="left"/>
      <protection hidden="1"/>
    </xf>
    <xf numFmtId="0" fontId="2" fillId="0" borderId="0" xfId="0" applyFont="1" applyBorder="1" applyAlignment="1" applyProtection="1">
      <protection hidden="1"/>
    </xf>
    <xf numFmtId="0" fontId="2" fillId="0" borderId="0" xfId="0" applyFont="1" applyBorder="1" applyAlignment="1"/>
    <xf numFmtId="0" fontId="2" fillId="0" borderId="68" xfId="0" applyFont="1" applyBorder="1" applyProtection="1">
      <protection hidden="1"/>
    </xf>
    <xf numFmtId="0" fontId="2" fillId="0" borderId="67" xfId="0" applyFont="1" applyBorder="1" applyProtection="1">
      <protection hidden="1"/>
    </xf>
    <xf numFmtId="0" fontId="2" fillId="0" borderId="65" xfId="0" applyFont="1" applyBorder="1" applyProtection="1">
      <protection hidden="1"/>
    </xf>
    <xf numFmtId="0" fontId="140" fillId="0" borderId="0" xfId="0" applyFont="1" applyBorder="1" applyAlignment="1">
      <alignment horizontal="center"/>
    </xf>
    <xf numFmtId="0" fontId="140" fillId="0" borderId="0" xfId="2" applyFont="1" applyProtection="1">
      <protection hidden="1"/>
    </xf>
    <xf numFmtId="0" fontId="140" fillId="0" borderId="72" xfId="2" applyFont="1" applyBorder="1" applyProtection="1">
      <protection hidden="1"/>
    </xf>
    <xf numFmtId="0" fontId="140" fillId="0" borderId="71" xfId="2" applyFont="1" applyBorder="1" applyProtection="1">
      <protection hidden="1"/>
    </xf>
    <xf numFmtId="0" fontId="140" fillId="0" borderId="70" xfId="2" applyFont="1" applyBorder="1" applyProtection="1">
      <protection hidden="1"/>
    </xf>
    <xf numFmtId="0" fontId="140" fillId="0" borderId="69" xfId="2" applyFont="1" applyBorder="1" applyProtection="1">
      <protection hidden="1"/>
    </xf>
    <xf numFmtId="0" fontId="140" fillId="0" borderId="0" xfId="2" applyFont="1" applyBorder="1" applyProtection="1">
      <protection hidden="1"/>
    </xf>
    <xf numFmtId="0" fontId="140" fillId="0" borderId="66" xfId="2" applyFont="1" applyBorder="1" applyProtection="1">
      <protection hidden="1"/>
    </xf>
    <xf numFmtId="0" fontId="140" fillId="0" borderId="43" xfId="2" applyFont="1" applyBorder="1" applyProtection="1">
      <protection hidden="1"/>
    </xf>
    <xf numFmtId="0" fontId="140" fillId="0" borderId="53" xfId="2" applyFont="1" applyBorder="1" applyProtection="1">
      <protection hidden="1"/>
    </xf>
    <xf numFmtId="0" fontId="140" fillId="0" borderId="147" xfId="2" applyFont="1" applyBorder="1" applyProtection="1">
      <protection hidden="1"/>
    </xf>
    <xf numFmtId="0" fontId="140" fillId="0" borderId="165" xfId="2" applyFont="1" applyBorder="1" applyProtection="1">
      <protection hidden="1"/>
    </xf>
    <xf numFmtId="0" fontId="140" fillId="0" borderId="163" xfId="2" applyFont="1" applyBorder="1" applyProtection="1">
      <protection hidden="1"/>
    </xf>
    <xf numFmtId="0" fontId="140" fillId="0" borderId="39" xfId="2" applyFont="1" applyBorder="1" applyProtection="1">
      <protection hidden="1"/>
    </xf>
    <xf numFmtId="0" fontId="140" fillId="0" borderId="51" xfId="2" applyFont="1" applyBorder="1" applyProtection="1">
      <protection hidden="1"/>
    </xf>
    <xf numFmtId="0" fontId="140" fillId="0" borderId="148" xfId="2" applyFont="1" applyBorder="1" applyProtection="1">
      <protection hidden="1"/>
    </xf>
    <xf numFmtId="0" fontId="144" fillId="0" borderId="0" xfId="2" applyFont="1" applyBorder="1" applyProtection="1">
      <protection hidden="1"/>
    </xf>
    <xf numFmtId="0" fontId="139" fillId="0" borderId="165" xfId="2" applyFont="1" applyBorder="1" applyAlignment="1" applyProtection="1">
      <alignment horizontal="left"/>
      <protection hidden="1"/>
    </xf>
    <xf numFmtId="0" fontId="139" fillId="0" borderId="0" xfId="2" applyFont="1" applyBorder="1" applyAlignment="1" applyProtection="1">
      <alignment horizontal="left"/>
      <protection hidden="1"/>
    </xf>
    <xf numFmtId="0" fontId="139" fillId="0" borderId="163" xfId="2" applyFont="1" applyBorder="1" applyAlignment="1" applyProtection="1">
      <alignment horizontal="left"/>
      <protection hidden="1"/>
    </xf>
    <xf numFmtId="0" fontId="140" fillId="0" borderId="76" xfId="2" applyFont="1" applyBorder="1" applyProtection="1">
      <protection hidden="1"/>
    </xf>
    <xf numFmtId="0" fontId="139" fillId="0" borderId="0" xfId="2" applyFont="1" applyBorder="1" applyProtection="1">
      <protection hidden="1"/>
    </xf>
    <xf numFmtId="0" fontId="140" fillId="0" borderId="23" xfId="2" applyFont="1" applyBorder="1" applyProtection="1">
      <protection hidden="1"/>
    </xf>
    <xf numFmtId="1" fontId="145" fillId="0" borderId="69" xfId="2" applyNumberFormat="1" applyFont="1" applyBorder="1" applyAlignment="1" applyProtection="1">
      <alignment horizontal="right" vertical="top"/>
      <protection hidden="1"/>
    </xf>
    <xf numFmtId="1" fontId="145" fillId="0" borderId="0" xfId="2" applyNumberFormat="1" applyFont="1" applyBorder="1" applyAlignment="1" applyProtection="1">
      <alignment horizontal="right" vertical="top"/>
      <protection hidden="1"/>
    </xf>
    <xf numFmtId="1" fontId="145" fillId="0" borderId="66" xfId="2" applyNumberFormat="1" applyFont="1" applyBorder="1" applyAlignment="1" applyProtection="1">
      <alignment horizontal="right" vertical="top"/>
      <protection hidden="1"/>
    </xf>
    <xf numFmtId="0" fontId="139" fillId="0" borderId="0" xfId="2" applyFont="1" applyProtection="1">
      <protection hidden="1"/>
    </xf>
    <xf numFmtId="0" fontId="143" fillId="0" borderId="69" xfId="2" applyFill="1" applyBorder="1" applyProtection="1">
      <protection hidden="1"/>
    </xf>
    <xf numFmtId="0" fontId="143" fillId="0" borderId="0" xfId="2" applyFill="1" applyBorder="1" applyProtection="1">
      <protection hidden="1"/>
    </xf>
    <xf numFmtId="0" fontId="143" fillId="0" borderId="0" xfId="2" applyFill="1" applyBorder="1" applyAlignment="1" applyProtection="1">
      <alignment horizontal="center"/>
      <protection hidden="1"/>
    </xf>
    <xf numFmtId="0" fontId="146" fillId="0" borderId="0" xfId="2" applyFont="1" applyFill="1" applyBorder="1" applyAlignment="1" applyProtection="1">
      <alignment horizontal="center" vertical="center"/>
      <protection locked="0"/>
    </xf>
    <xf numFmtId="0" fontId="143" fillId="0" borderId="0" xfId="2" applyFill="1" applyBorder="1" applyAlignment="1" applyProtection="1">
      <alignment horizontal="left"/>
      <protection hidden="1"/>
    </xf>
    <xf numFmtId="0" fontId="147" fillId="0" borderId="0" xfId="3" applyBorder="1" applyAlignment="1" applyProtection="1">
      <alignment horizontal="center"/>
      <protection hidden="1"/>
    </xf>
    <xf numFmtId="0" fontId="148" fillId="0" borderId="66" xfId="2" applyFont="1" applyFill="1" applyBorder="1" applyAlignment="1" applyProtection="1">
      <alignment horizontal="center" vertical="center"/>
      <protection hidden="1"/>
    </xf>
    <xf numFmtId="0" fontId="148" fillId="20" borderId="34" xfId="2" applyFont="1" applyFill="1" applyBorder="1" applyAlignment="1" applyProtection="1">
      <alignment horizontal="center" vertical="center"/>
      <protection hidden="1"/>
    </xf>
    <xf numFmtId="0" fontId="139" fillId="0" borderId="0" xfId="2" applyFont="1" applyFill="1" applyProtection="1">
      <protection hidden="1"/>
    </xf>
    <xf numFmtId="0" fontId="143" fillId="0" borderId="0" xfId="2" applyFont="1" applyFill="1" applyBorder="1" applyAlignment="1" applyProtection="1">
      <alignment horizontal="center"/>
      <protection hidden="1"/>
    </xf>
    <xf numFmtId="0" fontId="149" fillId="0" borderId="0" xfId="2" applyFont="1" applyFill="1" applyBorder="1" applyProtection="1">
      <protection hidden="1"/>
    </xf>
    <xf numFmtId="49" fontId="140" fillId="0" borderId="0" xfId="2" applyNumberFormat="1" applyFont="1" applyFill="1" applyBorder="1" applyAlignment="1" applyProtection="1">
      <alignment horizontal="center"/>
      <protection locked="0"/>
    </xf>
    <xf numFmtId="0" fontId="140" fillId="0" borderId="0" xfId="2" applyFont="1" applyFill="1" applyBorder="1" applyProtection="1">
      <protection hidden="1"/>
    </xf>
    <xf numFmtId="0" fontId="141" fillId="0" borderId="0" xfId="2" applyFont="1" applyFill="1" applyBorder="1" applyProtection="1">
      <protection hidden="1"/>
    </xf>
    <xf numFmtId="0" fontId="148" fillId="0" borderId="56" xfId="2" applyFont="1" applyFill="1" applyBorder="1" applyAlignment="1" applyProtection="1">
      <alignment horizontal="center" vertical="center"/>
      <protection hidden="1"/>
    </xf>
    <xf numFmtId="0" fontId="148" fillId="20" borderId="28" xfId="2" applyFont="1" applyFill="1" applyBorder="1" applyAlignment="1" applyProtection="1">
      <alignment horizontal="center" vertical="center"/>
      <protection hidden="1"/>
    </xf>
    <xf numFmtId="0" fontId="143" fillId="0" borderId="76" xfId="2" applyFill="1" applyBorder="1" applyAlignment="1" applyProtection="1">
      <alignment horizontal="center"/>
      <protection hidden="1"/>
    </xf>
    <xf numFmtId="0" fontId="143" fillId="0" borderId="53" xfId="2" applyFill="1" applyBorder="1" applyAlignment="1" applyProtection="1">
      <alignment horizontal="center"/>
      <protection hidden="1"/>
    </xf>
    <xf numFmtId="0" fontId="141" fillId="0" borderId="43" xfId="2" applyFont="1" applyBorder="1" applyAlignment="1" applyProtection="1">
      <alignment horizontal="center"/>
      <protection hidden="1"/>
    </xf>
    <xf numFmtId="0" fontId="141" fillId="0" borderId="53" xfId="2" applyFont="1" applyBorder="1" applyAlignment="1" applyProtection="1">
      <alignment horizontal="center"/>
      <protection hidden="1"/>
    </xf>
    <xf numFmtId="0" fontId="143" fillId="0" borderId="0" xfId="2" applyBorder="1" applyProtection="1">
      <protection hidden="1"/>
    </xf>
    <xf numFmtId="0" fontId="149" fillId="0" borderId="0" xfId="2" applyFont="1" applyBorder="1" applyProtection="1">
      <protection hidden="1"/>
    </xf>
    <xf numFmtId="0" fontId="140" fillId="19" borderId="0" xfId="2" applyFont="1" applyFill="1" applyBorder="1" applyProtection="1">
      <protection hidden="1"/>
    </xf>
    <xf numFmtId="0" fontId="143" fillId="0" borderId="0" xfId="2" applyFont="1" applyFill="1" applyBorder="1" applyAlignment="1" applyProtection="1">
      <alignment horizontal="left"/>
      <protection hidden="1"/>
    </xf>
    <xf numFmtId="0" fontId="139" fillId="0" borderId="0" xfId="2" applyFont="1" applyFill="1" applyBorder="1" applyProtection="1">
      <protection hidden="1"/>
    </xf>
    <xf numFmtId="0" fontId="141" fillId="0" borderId="0" xfId="2" applyFont="1" applyFill="1" applyBorder="1" applyAlignment="1" applyProtection="1">
      <alignment horizontal="left"/>
      <protection hidden="1"/>
    </xf>
    <xf numFmtId="0" fontId="141" fillId="0" borderId="0" xfId="2" applyFont="1" applyFill="1" applyBorder="1" applyAlignment="1" applyProtection="1">
      <alignment horizontal="center"/>
      <protection hidden="1"/>
    </xf>
    <xf numFmtId="0" fontId="149" fillId="19" borderId="0" xfId="2" applyFont="1" applyFill="1" applyBorder="1" applyProtection="1">
      <protection hidden="1"/>
    </xf>
    <xf numFmtId="0" fontId="0" fillId="0" borderId="0" xfId="2" applyFont="1" applyFill="1" applyBorder="1" applyProtection="1">
      <protection hidden="1"/>
    </xf>
    <xf numFmtId="0" fontId="141" fillId="0" borderId="165" xfId="2" applyFont="1" applyBorder="1" applyProtection="1">
      <protection hidden="1"/>
    </xf>
    <xf numFmtId="0" fontId="141" fillId="0" borderId="0" xfId="2" applyFont="1" applyBorder="1" applyProtection="1">
      <protection hidden="1"/>
    </xf>
    <xf numFmtId="0" fontId="143" fillId="0" borderId="76" xfId="2" applyFill="1" applyBorder="1" applyProtection="1">
      <protection hidden="1"/>
    </xf>
    <xf numFmtId="0" fontId="146" fillId="0" borderId="147" xfId="2" applyFont="1" applyFill="1" applyBorder="1" applyAlignment="1" applyProtection="1">
      <alignment horizontal="center" vertical="center"/>
      <protection locked="0"/>
    </xf>
    <xf numFmtId="0" fontId="148" fillId="0" borderId="0" xfId="2" applyFont="1" applyFill="1" applyBorder="1" applyAlignment="1" applyProtection="1">
      <alignment horizontal="center" vertical="center"/>
      <protection hidden="1"/>
    </xf>
    <xf numFmtId="0" fontId="146" fillId="0" borderId="69" xfId="2" applyFont="1" applyBorder="1" applyAlignment="1" applyProtection="1">
      <alignment horizontal="center"/>
      <protection hidden="1"/>
    </xf>
    <xf numFmtId="0" fontId="146" fillId="0" borderId="0" xfId="2" applyFont="1" applyBorder="1" applyAlignment="1" applyProtection="1">
      <alignment horizontal="center"/>
      <protection hidden="1"/>
    </xf>
    <xf numFmtId="14" fontId="146" fillId="0" borderId="0" xfId="2" applyNumberFormat="1" applyFont="1" applyBorder="1" applyAlignment="1" applyProtection="1">
      <alignment horizontal="center"/>
      <protection hidden="1"/>
    </xf>
    <xf numFmtId="49" fontId="146" fillId="0" borderId="0" xfId="2" applyNumberFormat="1" applyFont="1" applyBorder="1" applyAlignment="1" applyProtection="1">
      <alignment horizontal="center"/>
      <protection hidden="1"/>
    </xf>
    <xf numFmtId="0" fontId="141" fillId="0" borderId="0" xfId="2" applyFont="1" applyBorder="1" applyAlignment="1" applyProtection="1">
      <alignment horizontal="left"/>
      <protection hidden="1"/>
    </xf>
    <xf numFmtId="0" fontId="141" fillId="0" borderId="0" xfId="2" applyFont="1" applyBorder="1" applyAlignment="1" applyProtection="1">
      <alignment horizontal="center"/>
      <protection hidden="1"/>
    </xf>
    <xf numFmtId="1" fontId="146" fillId="0" borderId="0" xfId="0" applyNumberFormat="1" applyFont="1" applyBorder="1" applyAlignment="1" applyProtection="1">
      <alignment horizontal="left"/>
      <protection hidden="1"/>
    </xf>
    <xf numFmtId="0" fontId="139" fillId="0" borderId="0" xfId="2" applyFont="1" applyBorder="1" applyAlignment="1" applyProtection="1">
      <protection hidden="1"/>
    </xf>
    <xf numFmtId="0" fontId="139" fillId="0" borderId="0" xfId="2" applyFont="1" applyAlignment="1" applyProtection="1">
      <protection hidden="1"/>
    </xf>
    <xf numFmtId="0" fontId="141" fillId="0" borderId="66" xfId="2" applyFont="1" applyBorder="1" applyAlignment="1" applyProtection="1">
      <alignment horizontal="left"/>
      <protection hidden="1"/>
    </xf>
    <xf numFmtId="0" fontId="146" fillId="0" borderId="69" xfId="0" applyFont="1" applyBorder="1" applyAlignment="1" applyProtection="1">
      <alignment horizontal="left"/>
      <protection hidden="1"/>
    </xf>
    <xf numFmtId="0" fontId="146" fillId="0" borderId="0" xfId="0" applyFont="1" applyBorder="1" applyAlignment="1" applyProtection="1">
      <alignment horizontal="left"/>
      <protection hidden="1"/>
    </xf>
    <xf numFmtId="3" fontId="146" fillId="0" borderId="0" xfId="0" applyNumberFormat="1" applyFont="1" applyBorder="1" applyProtection="1">
      <protection hidden="1"/>
    </xf>
    <xf numFmtId="0" fontId="139" fillId="0" borderId="67" xfId="2" applyFont="1" applyBorder="1" applyProtection="1">
      <protection hidden="1"/>
    </xf>
    <xf numFmtId="0" fontId="141" fillId="0" borderId="67" xfId="2" applyFont="1" applyBorder="1" applyAlignment="1" applyProtection="1">
      <alignment horizontal="left"/>
      <protection hidden="1"/>
    </xf>
    <xf numFmtId="0" fontId="141" fillId="0" borderId="65" xfId="2" applyFont="1" applyBorder="1" applyAlignment="1" applyProtection="1">
      <alignment horizontal="left"/>
      <protection hidden="1"/>
    </xf>
    <xf numFmtId="1" fontId="145" fillId="0" borderId="51" xfId="2" applyNumberFormat="1" applyFont="1" applyBorder="1" applyAlignment="1" applyProtection="1">
      <alignment horizontal="right" vertical="top"/>
      <protection hidden="1"/>
    </xf>
    <xf numFmtId="1" fontId="145" fillId="0" borderId="0" xfId="2" applyNumberFormat="1" applyFont="1" applyBorder="1" applyAlignment="1" applyProtection="1">
      <alignment horizontal="right" vertical="center"/>
      <protection hidden="1"/>
    </xf>
    <xf numFmtId="1" fontId="145" fillId="0" borderId="165" xfId="2" applyNumberFormat="1" applyFont="1" applyBorder="1" applyAlignment="1" applyProtection="1">
      <alignment horizontal="right" vertical="center"/>
      <protection hidden="1"/>
    </xf>
    <xf numFmtId="0" fontId="149" fillId="0" borderId="163" xfId="2" applyFont="1" applyBorder="1" applyProtection="1">
      <protection hidden="1"/>
    </xf>
    <xf numFmtId="1" fontId="149" fillId="0" borderId="165" xfId="2" applyNumberFormat="1" applyFont="1" applyBorder="1" applyAlignment="1" applyProtection="1">
      <alignment vertical="center"/>
      <protection hidden="1"/>
    </xf>
    <xf numFmtId="1" fontId="149" fillId="0" borderId="0" xfId="2" applyNumberFormat="1" applyFont="1" applyBorder="1" applyAlignment="1" applyProtection="1">
      <alignment vertical="center"/>
      <protection hidden="1"/>
    </xf>
    <xf numFmtId="0" fontId="149" fillId="0" borderId="0" xfId="2" applyFont="1" applyProtection="1">
      <protection hidden="1"/>
    </xf>
    <xf numFmtId="0" fontId="143" fillId="0" borderId="0" xfId="2" applyProtection="1">
      <protection hidden="1"/>
    </xf>
    <xf numFmtId="0" fontId="146" fillId="0" borderId="0" xfId="2" applyFont="1" applyProtection="1">
      <protection hidden="1"/>
    </xf>
    <xf numFmtId="0" fontId="143" fillId="0" borderId="0" xfId="2" applyFont="1" applyAlignment="1" applyProtection="1">
      <alignment horizontal="center"/>
      <protection hidden="1"/>
    </xf>
    <xf numFmtId="0" fontId="139" fillId="0" borderId="163" xfId="2" applyFont="1" applyBorder="1" applyProtection="1">
      <protection hidden="1"/>
    </xf>
    <xf numFmtId="0" fontId="140" fillId="0" borderId="165" xfId="2" applyFont="1" applyFill="1" applyBorder="1" applyProtection="1">
      <protection hidden="1"/>
    </xf>
    <xf numFmtId="0" fontId="140" fillId="0" borderId="163" xfId="2" applyFont="1" applyFill="1" applyBorder="1" applyProtection="1">
      <protection hidden="1"/>
    </xf>
    <xf numFmtId="0" fontId="140" fillId="0" borderId="43" xfId="2" applyFont="1" applyFill="1" applyBorder="1" applyProtection="1">
      <protection hidden="1"/>
    </xf>
    <xf numFmtId="0" fontId="140" fillId="0" borderId="53" xfId="2" applyFont="1" applyFill="1" applyBorder="1" applyProtection="1">
      <protection hidden="1"/>
    </xf>
    <xf numFmtId="0" fontId="140" fillId="0" borderId="147" xfId="2" applyFont="1" applyFill="1" applyBorder="1" applyProtection="1">
      <protection hidden="1"/>
    </xf>
    <xf numFmtId="49" fontId="140" fillId="0" borderId="163" xfId="2" applyNumberFormat="1" applyFont="1" applyFill="1" applyBorder="1" applyAlignment="1" applyProtection="1">
      <alignment horizontal="center"/>
      <protection locked="0"/>
    </xf>
    <xf numFmtId="49" fontId="140" fillId="0" borderId="147" xfId="2" applyNumberFormat="1" applyFont="1" applyFill="1" applyBorder="1" applyAlignment="1" applyProtection="1">
      <alignment horizontal="center"/>
      <protection locked="0"/>
    </xf>
    <xf numFmtId="0" fontId="149" fillId="0" borderId="53" xfId="2" applyFont="1" applyBorder="1" applyProtection="1">
      <protection hidden="1"/>
    </xf>
    <xf numFmtId="0" fontId="141" fillId="0" borderId="53" xfId="2" applyFont="1" applyBorder="1" applyProtection="1">
      <protection hidden="1"/>
    </xf>
    <xf numFmtId="0" fontId="149" fillId="0" borderId="43" xfId="2" applyFont="1" applyBorder="1" applyAlignment="1" applyProtection="1">
      <alignment horizontal="center" vertical="center"/>
      <protection hidden="1"/>
    </xf>
    <xf numFmtId="0" fontId="149" fillId="0" borderId="53" xfId="2" applyFont="1" applyBorder="1" applyAlignment="1" applyProtection="1">
      <alignment horizontal="center" vertical="center"/>
      <protection hidden="1"/>
    </xf>
    <xf numFmtId="0" fontId="141" fillId="0" borderId="53" xfId="2" applyFont="1" applyBorder="1" applyAlignment="1" applyProtection="1">
      <alignment horizontal="center" vertical="center"/>
      <protection hidden="1"/>
    </xf>
    <xf numFmtId="0" fontId="149" fillId="0" borderId="147" xfId="2" applyFont="1" applyBorder="1" applyAlignment="1" applyProtection="1">
      <alignment horizontal="center" vertical="center"/>
      <protection hidden="1"/>
    </xf>
    <xf numFmtId="0" fontId="143" fillId="0" borderId="0" xfId="2" applyFont="1" applyBorder="1" applyAlignment="1" applyProtection="1">
      <alignment horizontal="center"/>
      <protection hidden="1"/>
    </xf>
    <xf numFmtId="0" fontId="149" fillId="0" borderId="165" xfId="2" applyFont="1" applyBorder="1" applyAlignment="1" applyProtection="1">
      <alignment horizontal="center" vertical="center"/>
      <protection hidden="1"/>
    </xf>
    <xf numFmtId="0" fontId="149" fillId="0" borderId="0" xfId="2" applyFont="1" applyBorder="1" applyAlignment="1" applyProtection="1">
      <alignment horizontal="center" vertical="center"/>
      <protection hidden="1"/>
    </xf>
    <xf numFmtId="0" fontId="149" fillId="0" borderId="163" xfId="2" applyFont="1" applyBorder="1" applyAlignment="1" applyProtection="1">
      <alignment horizontal="center" vertical="center"/>
      <protection hidden="1"/>
    </xf>
    <xf numFmtId="0" fontId="140" fillId="0" borderId="0" xfId="2" applyFont="1" applyAlignment="1" applyProtection="1">
      <alignment horizontal="center"/>
      <protection hidden="1"/>
    </xf>
    <xf numFmtId="0" fontId="143" fillId="0" borderId="43" xfId="2" applyBorder="1" applyProtection="1">
      <protection hidden="1"/>
    </xf>
    <xf numFmtId="0" fontId="143" fillId="0" borderId="53" xfId="2" applyBorder="1" applyProtection="1">
      <protection hidden="1"/>
    </xf>
    <xf numFmtId="0" fontId="143" fillId="0" borderId="147" xfId="2" applyBorder="1" applyProtection="1">
      <protection hidden="1"/>
    </xf>
    <xf numFmtId="0" fontId="143" fillId="0" borderId="147" xfId="2" applyFont="1" applyBorder="1" applyProtection="1">
      <protection hidden="1"/>
    </xf>
    <xf numFmtId="0" fontId="143" fillId="0" borderId="165" xfId="2" applyBorder="1" applyProtection="1">
      <protection hidden="1"/>
    </xf>
    <xf numFmtId="0" fontId="143" fillId="0" borderId="163" xfId="2" applyBorder="1" applyProtection="1">
      <protection hidden="1"/>
    </xf>
    <xf numFmtId="49" fontId="140" fillId="0" borderId="44" xfId="2" applyNumberFormat="1" applyFont="1" applyFill="1" applyBorder="1" applyAlignment="1" applyProtection="1">
      <alignment horizontal="center"/>
      <protection locked="0"/>
    </xf>
    <xf numFmtId="0" fontId="148" fillId="20" borderId="23" xfId="2" applyFont="1" applyFill="1" applyBorder="1" applyAlignment="1" applyProtection="1">
      <alignment horizontal="center" vertical="center"/>
      <protection hidden="1"/>
    </xf>
    <xf numFmtId="0" fontId="143" fillId="0" borderId="163" xfId="2" applyFont="1" applyBorder="1" applyProtection="1">
      <protection hidden="1"/>
    </xf>
    <xf numFmtId="2" fontId="141" fillId="0" borderId="165" xfId="2" applyNumberFormat="1" applyFont="1" applyBorder="1" applyProtection="1">
      <protection hidden="1"/>
    </xf>
    <xf numFmtId="0" fontId="146" fillId="0" borderId="23" xfId="2" applyFont="1" applyFill="1" applyBorder="1" applyAlignment="1" applyProtection="1">
      <alignment horizontal="center" vertical="center"/>
      <protection locked="0"/>
    </xf>
    <xf numFmtId="0" fontId="143" fillId="0" borderId="39" xfId="2" applyBorder="1" applyProtection="1">
      <protection hidden="1"/>
    </xf>
    <xf numFmtId="0" fontId="146" fillId="0" borderId="44" xfId="2" applyFont="1" applyFill="1" applyBorder="1" applyAlignment="1" applyProtection="1">
      <alignment horizontal="center" vertical="center"/>
      <protection locked="0"/>
    </xf>
    <xf numFmtId="0" fontId="143" fillId="0" borderId="148" xfId="2" applyBorder="1" applyProtection="1">
      <protection hidden="1"/>
    </xf>
    <xf numFmtId="0" fontId="143" fillId="0" borderId="51" xfId="2" applyBorder="1" applyProtection="1">
      <protection hidden="1"/>
    </xf>
    <xf numFmtId="1" fontId="146" fillId="0" borderId="51" xfId="2" applyNumberFormat="1" applyFont="1" applyBorder="1" applyAlignment="1" applyProtection="1">
      <alignment horizontal="center" vertical="center"/>
      <protection hidden="1"/>
    </xf>
    <xf numFmtId="1" fontId="145" fillId="0" borderId="51" xfId="2" applyNumberFormat="1" applyFont="1" applyBorder="1" applyAlignment="1" applyProtection="1">
      <alignment horizontal="right" vertical="center"/>
      <protection hidden="1"/>
    </xf>
    <xf numFmtId="1" fontId="145" fillId="0" borderId="148" xfId="2" applyNumberFormat="1" applyFont="1" applyBorder="1" applyAlignment="1" applyProtection="1">
      <alignment horizontal="right" vertical="center"/>
      <protection hidden="1"/>
    </xf>
    <xf numFmtId="0" fontId="143" fillId="0" borderId="0" xfId="2" applyFont="1" applyProtection="1">
      <protection hidden="1"/>
    </xf>
    <xf numFmtId="0" fontId="2" fillId="0" borderId="23" xfId="0" applyFont="1" applyBorder="1"/>
    <xf numFmtId="0" fontId="2" fillId="0" borderId="23" xfId="0" applyFont="1" applyBorder="1" applyAlignment="1">
      <alignment horizontal="center" vertical="center"/>
    </xf>
    <xf numFmtId="0" fontId="120" fillId="21" borderId="23" xfId="0" applyFont="1" applyFill="1" applyBorder="1" applyAlignment="1">
      <alignment horizontal="center" vertical="center"/>
    </xf>
    <xf numFmtId="0" fontId="0" fillId="19" borderId="0" xfId="0" applyFill="1" applyProtection="1">
      <protection hidden="1"/>
    </xf>
    <xf numFmtId="0" fontId="0" fillId="19" borderId="0" xfId="0" applyFill="1" applyBorder="1" applyProtection="1">
      <protection hidden="1"/>
    </xf>
    <xf numFmtId="0" fontId="149" fillId="19" borderId="0" xfId="0" applyFont="1" applyFill="1" applyBorder="1" applyProtection="1">
      <protection hidden="1"/>
    </xf>
    <xf numFmtId="0" fontId="120" fillId="21" borderId="23" xfId="0" applyFont="1" applyFill="1" applyBorder="1" applyAlignment="1">
      <alignment horizontal="center" vertical="center" wrapText="1"/>
    </xf>
    <xf numFmtId="0" fontId="120" fillId="0" borderId="0" xfId="0" applyFont="1"/>
    <xf numFmtId="164" fontId="124" fillId="0" borderId="0" xfId="1" applyNumberFormat="1" applyFont="1"/>
    <xf numFmtId="164" fontId="0" fillId="0" borderId="0" xfId="0" applyNumberFormat="1"/>
    <xf numFmtId="164" fontId="124" fillId="0" borderId="0" xfId="0" applyNumberFormat="1" applyFont="1"/>
    <xf numFmtId="164" fontId="2" fillId="0" borderId="0" xfId="1" applyNumberFormat="1" applyFont="1"/>
    <xf numFmtId="164" fontId="10" fillId="0" borderId="0" xfId="0" applyNumberFormat="1" applyFont="1"/>
    <xf numFmtId="164" fontId="92" fillId="0" borderId="0" xfId="0" applyNumberFormat="1" applyFont="1"/>
    <xf numFmtId="0" fontId="141" fillId="0" borderId="0" xfId="2" applyFont="1" applyBorder="1" applyAlignment="1" applyProtection="1">
      <alignment horizontal="center"/>
      <protection hidden="1"/>
    </xf>
    <xf numFmtId="0" fontId="141" fillId="0" borderId="0" xfId="2" applyFont="1" applyBorder="1" applyAlignment="1" applyProtection="1">
      <alignment horizontal="left"/>
      <protection hidden="1"/>
    </xf>
    <xf numFmtId="0" fontId="139" fillId="0" borderId="0" xfId="2" applyFont="1" applyBorder="1" applyAlignment="1" applyProtection="1">
      <alignment horizontal="left"/>
      <protection hidden="1"/>
    </xf>
    <xf numFmtId="0" fontId="141" fillId="0" borderId="163" xfId="2" applyFont="1" applyBorder="1" applyAlignment="1" applyProtection="1">
      <alignment horizontal="left"/>
      <protection hidden="1"/>
    </xf>
    <xf numFmtId="0" fontId="139" fillId="0" borderId="0" xfId="2" applyFont="1" applyBorder="1" applyAlignment="1" applyProtection="1">
      <alignment horizontal="center"/>
      <protection hidden="1"/>
    </xf>
    <xf numFmtId="0" fontId="140" fillId="0" borderId="53" xfId="0" applyFont="1" applyFill="1" applyBorder="1" applyAlignment="1" applyProtection="1">
      <protection hidden="1"/>
    </xf>
    <xf numFmtId="0" fontId="140" fillId="0" borderId="76" xfId="0" applyFont="1" applyFill="1" applyBorder="1" applyAlignment="1" applyProtection="1">
      <protection hidden="1"/>
    </xf>
    <xf numFmtId="1" fontId="146" fillId="0" borderId="0" xfId="2" applyNumberFormat="1" applyFont="1" applyProtection="1">
      <protection hidden="1"/>
    </xf>
    <xf numFmtId="49" fontId="140" fillId="19" borderId="44" xfId="2" applyNumberFormat="1" applyFont="1" applyFill="1" applyBorder="1" applyAlignment="1" applyProtection="1">
      <alignment horizontal="center"/>
      <protection hidden="1"/>
    </xf>
    <xf numFmtId="0" fontId="140" fillId="0" borderId="23" xfId="0" applyFont="1" applyFill="1" applyBorder="1" applyAlignment="1" applyProtection="1">
      <alignment horizontal="center"/>
      <protection locked="0"/>
    </xf>
    <xf numFmtId="0" fontId="146" fillId="0" borderId="0" xfId="2" applyFont="1" applyBorder="1" applyProtection="1">
      <protection hidden="1"/>
    </xf>
    <xf numFmtId="0" fontId="143" fillId="0" borderId="0" xfId="2" applyFont="1" applyBorder="1" applyProtection="1">
      <protection hidden="1"/>
    </xf>
    <xf numFmtId="0" fontId="139" fillId="0" borderId="165" xfId="2" applyFont="1" applyBorder="1" applyProtection="1">
      <protection hidden="1"/>
    </xf>
    <xf numFmtId="0" fontId="146" fillId="0" borderId="165" xfId="2" applyFont="1" applyBorder="1" applyAlignment="1" applyProtection="1">
      <alignment horizontal="center"/>
      <protection hidden="1"/>
    </xf>
    <xf numFmtId="0" fontId="143" fillId="19" borderId="0" xfId="2" applyFill="1" applyBorder="1" applyProtection="1">
      <protection hidden="1"/>
    </xf>
    <xf numFmtId="0" fontId="139" fillId="19" borderId="163" xfId="2" applyFont="1" applyFill="1" applyBorder="1" applyProtection="1">
      <protection hidden="1"/>
    </xf>
    <xf numFmtId="0" fontId="139" fillId="19" borderId="0" xfId="2" applyFont="1" applyFill="1" applyBorder="1" applyProtection="1">
      <protection hidden="1"/>
    </xf>
    <xf numFmtId="0" fontId="149" fillId="0" borderId="0" xfId="2" applyFont="1" applyBorder="1" applyAlignment="1" applyProtection="1">
      <alignment vertical="center"/>
      <protection hidden="1"/>
    </xf>
    <xf numFmtId="0" fontId="149" fillId="0" borderId="147" xfId="2" applyFont="1" applyBorder="1" applyProtection="1">
      <protection hidden="1"/>
    </xf>
    <xf numFmtId="0" fontId="140" fillId="19" borderId="53" xfId="2" applyFont="1" applyFill="1" applyBorder="1" applyProtection="1">
      <protection hidden="1"/>
    </xf>
    <xf numFmtId="1" fontId="145" fillId="0" borderId="53" xfId="2" applyNumberFormat="1" applyFont="1" applyBorder="1" applyAlignment="1" applyProtection="1">
      <alignment horizontal="right" vertical="center"/>
      <protection hidden="1"/>
    </xf>
    <xf numFmtId="1" fontId="145" fillId="0" borderId="43" xfId="2" applyNumberFormat="1" applyFont="1" applyBorder="1" applyAlignment="1" applyProtection="1">
      <alignment horizontal="right" vertical="center"/>
      <protection hidden="1"/>
    </xf>
    <xf numFmtId="0" fontId="139" fillId="0" borderId="53" xfId="0" applyFont="1" applyBorder="1" applyAlignment="1" applyProtection="1">
      <alignment horizontal="left"/>
      <protection hidden="1"/>
    </xf>
    <xf numFmtId="0" fontId="139" fillId="19" borderId="53" xfId="0" applyFont="1" applyFill="1" applyBorder="1" applyProtection="1">
      <protection hidden="1"/>
    </xf>
    <xf numFmtId="0" fontId="139" fillId="19" borderId="0" xfId="0" applyFont="1" applyFill="1" applyBorder="1" applyAlignment="1" applyProtection="1">
      <alignment horizontal="center"/>
      <protection hidden="1"/>
    </xf>
    <xf numFmtId="0" fontId="14" fillId="2" borderId="92" xfId="0" applyFont="1" applyFill="1" applyBorder="1" applyAlignment="1">
      <alignment horizontal="center" vertical="center" wrapText="1"/>
    </xf>
    <xf numFmtId="0" fontId="14" fillId="2" borderId="87" xfId="0" applyFont="1" applyFill="1" applyBorder="1" applyAlignment="1">
      <alignment horizontal="center" vertical="center" wrapText="1"/>
    </xf>
    <xf numFmtId="0" fontId="14" fillId="2" borderId="88" xfId="0" applyFont="1" applyFill="1" applyBorder="1" applyAlignment="1">
      <alignment horizontal="center" vertical="center" wrapText="1"/>
    </xf>
    <xf numFmtId="0" fontId="10" fillId="0" borderId="23" xfId="0" applyFont="1" applyBorder="1" applyAlignment="1">
      <alignment vertical="center" wrapText="1"/>
    </xf>
    <xf numFmtId="0" fontId="14" fillId="2" borderId="96" xfId="0" applyFont="1" applyFill="1" applyBorder="1" applyAlignment="1">
      <alignment horizontal="center" vertical="center" wrapText="1"/>
    </xf>
    <xf numFmtId="0" fontId="14" fillId="2" borderId="102" xfId="0" applyFont="1" applyFill="1" applyBorder="1" applyAlignment="1">
      <alignment horizontal="center" vertical="center" wrapText="1"/>
    </xf>
    <xf numFmtId="0" fontId="14" fillId="2" borderId="82" xfId="0" applyFont="1" applyFill="1" applyBorder="1" applyAlignment="1">
      <alignment horizontal="center" vertical="center" wrapText="1"/>
    </xf>
    <xf numFmtId="0" fontId="55" fillId="2" borderId="87" xfId="0" applyFont="1" applyFill="1" applyBorder="1" applyAlignment="1">
      <alignment horizontal="center" vertical="top" wrapText="1"/>
    </xf>
    <xf numFmtId="0" fontId="55" fillId="2" borderId="98" xfId="0" applyFont="1" applyFill="1" applyBorder="1" applyAlignment="1">
      <alignment horizontal="center" vertical="top" wrapText="1"/>
    </xf>
    <xf numFmtId="0" fontId="55" fillId="2" borderId="109" xfId="0" applyFont="1" applyFill="1" applyBorder="1" applyAlignment="1">
      <alignment horizontal="center" vertical="top" wrapText="1"/>
    </xf>
    <xf numFmtId="0" fontId="55" fillId="2" borderId="110" xfId="0" applyFont="1" applyFill="1" applyBorder="1" applyAlignment="1">
      <alignment horizontal="center" vertical="top" wrapText="1"/>
    </xf>
    <xf numFmtId="0" fontId="14" fillId="2" borderId="111" xfId="0" applyFont="1" applyFill="1" applyBorder="1" applyAlignment="1">
      <alignment horizontal="center" vertical="center" wrapText="1"/>
    </xf>
    <xf numFmtId="0" fontId="55" fillId="2" borderId="112" xfId="0" applyFont="1" applyFill="1" applyBorder="1" applyAlignment="1">
      <alignment horizontal="center" vertical="top" wrapText="1"/>
    </xf>
    <xf numFmtId="0" fontId="55" fillId="2" borderId="113" xfId="0" applyFont="1" applyFill="1" applyBorder="1" applyAlignment="1">
      <alignment horizontal="center" vertical="top" wrapText="1"/>
    </xf>
    <xf numFmtId="0" fontId="20" fillId="12" borderId="23" xfId="0" applyFont="1" applyFill="1" applyBorder="1" applyAlignment="1">
      <alignment horizontal="center" vertical="center" wrapText="1"/>
    </xf>
    <xf numFmtId="0" fontId="20" fillId="12" borderId="2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5" xfId="0" applyFont="1" applyFill="1" applyBorder="1" applyAlignment="1">
      <alignment vertical="center" wrapText="1"/>
    </xf>
    <xf numFmtId="0" fontId="0" fillId="0" borderId="0" xfId="0" applyFill="1"/>
    <xf numFmtId="0" fontId="2" fillId="0" borderId="23" xfId="0" applyFont="1" applyBorder="1" applyAlignment="1">
      <alignment horizontal="center"/>
    </xf>
    <xf numFmtId="0" fontId="129" fillId="11" borderId="24" xfId="0" applyFont="1" applyFill="1" applyBorder="1" applyAlignment="1">
      <alignment horizontal="center" vertical="center" wrapText="1"/>
    </xf>
    <xf numFmtId="0" fontId="20" fillId="12" borderId="181" xfId="0" applyFont="1" applyFill="1" applyBorder="1" applyAlignment="1">
      <alignment vertical="center" wrapText="1"/>
    </xf>
    <xf numFmtId="0" fontId="20" fillId="12" borderId="128" xfId="0" applyFont="1" applyFill="1" applyBorder="1" applyAlignment="1">
      <alignment vertical="center" wrapText="1"/>
    </xf>
    <xf numFmtId="0" fontId="20" fillId="12" borderId="126" xfId="0" applyFont="1" applyFill="1" applyBorder="1" applyAlignment="1">
      <alignment vertical="center" wrapText="1"/>
    </xf>
    <xf numFmtId="0" fontId="20" fillId="12" borderId="33" xfId="0" applyFont="1" applyFill="1" applyBorder="1" applyAlignment="1">
      <alignment horizontal="center" vertical="center" wrapText="1"/>
    </xf>
    <xf numFmtId="0" fontId="20" fillId="12" borderId="42" xfId="0" applyFont="1" applyFill="1" applyBorder="1" applyAlignment="1">
      <alignment vertical="center" wrapText="1"/>
    </xf>
    <xf numFmtId="0" fontId="20" fillId="12" borderId="64" xfId="0" applyFont="1" applyFill="1" applyBorder="1" applyAlignment="1">
      <alignment vertical="center" wrapText="1"/>
    </xf>
    <xf numFmtId="164" fontId="20" fillId="13" borderId="19" xfId="1" applyNumberFormat="1" applyFont="1" applyFill="1" applyBorder="1" applyAlignment="1">
      <alignment vertical="center" wrapText="1"/>
    </xf>
    <xf numFmtId="9" fontId="20" fillId="13" borderId="19" xfId="4" applyFont="1" applyFill="1" applyBorder="1" applyAlignment="1">
      <alignment horizontal="center" vertical="center" wrapText="1"/>
    </xf>
    <xf numFmtId="0" fontId="7" fillId="0" borderId="0" xfId="0" quotePrefix="1" applyFont="1" applyAlignment="1">
      <alignment vertical="center"/>
    </xf>
    <xf numFmtId="0" fontId="55" fillId="0" borderId="0" xfId="0" applyFont="1" applyAlignment="1"/>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62"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51" fillId="2" borderId="68"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7" fillId="0" borderId="28" xfId="0" applyFont="1" applyBorder="1" applyAlignment="1">
      <alignment vertical="center" wrapText="1"/>
    </xf>
    <xf numFmtId="0" fontId="7" fillId="0" borderId="34" xfId="0" applyFont="1" applyBorder="1" applyAlignment="1">
      <alignment horizontal="justify" vertical="center" wrapText="1"/>
    </xf>
    <xf numFmtId="0" fontId="14" fillId="2" borderId="150" xfId="0" applyFont="1" applyFill="1" applyBorder="1" applyAlignment="1">
      <alignment horizontal="center" vertical="center" wrapText="1"/>
    </xf>
    <xf numFmtId="0" fontId="14" fillId="2" borderId="151" xfId="0" applyFont="1" applyFill="1" applyBorder="1" applyAlignment="1">
      <alignment horizontal="center" vertical="center" wrapText="1"/>
    </xf>
    <xf numFmtId="0" fontId="14" fillId="2" borderId="122" xfId="0" applyFont="1" applyFill="1" applyBorder="1" applyAlignment="1">
      <alignment horizontal="center" vertical="center" wrapText="1"/>
    </xf>
    <xf numFmtId="0" fontId="14" fillId="2" borderId="110" xfId="0" applyFont="1" applyFill="1" applyBorder="1" applyAlignment="1">
      <alignment horizontal="center" vertical="center" wrapText="1"/>
    </xf>
    <xf numFmtId="0" fontId="19" fillId="0" borderId="60" xfId="0" applyFont="1" applyBorder="1" applyAlignment="1">
      <alignment vertical="center" wrapText="1"/>
    </xf>
    <xf numFmtId="164" fontId="55" fillId="0" borderId="0" xfId="0" applyNumberFormat="1" applyFont="1"/>
    <xf numFmtId="0" fontId="2" fillId="0" borderId="23" xfId="0" applyFont="1" applyBorder="1" applyAlignment="1">
      <alignment horizontal="left" vertical="center"/>
    </xf>
    <xf numFmtId="0" fontId="2" fillId="0" borderId="23" xfId="0" applyFont="1" applyBorder="1" applyAlignment="1">
      <alignment horizontal="left"/>
    </xf>
    <xf numFmtId="164" fontId="37" fillId="0" borderId="44" xfId="1" applyNumberFormat="1" applyFont="1" applyBorder="1" applyAlignment="1">
      <alignment horizontal="right" vertical="center" wrapText="1"/>
    </xf>
    <xf numFmtId="164" fontId="37" fillId="0" borderId="45" xfId="1" applyNumberFormat="1" applyFont="1" applyBorder="1" applyAlignment="1">
      <alignment horizontal="right" vertical="center" wrapText="1"/>
    </xf>
    <xf numFmtId="164" fontId="37" fillId="0" borderId="23" xfId="1" applyNumberFormat="1" applyFont="1" applyBorder="1" applyAlignment="1">
      <alignment horizontal="right" vertical="center" wrapText="1"/>
    </xf>
    <xf numFmtId="164" fontId="37" fillId="0" borderId="29" xfId="1" applyNumberFormat="1" applyFont="1" applyBorder="1" applyAlignment="1">
      <alignment horizontal="right" vertical="center" wrapText="1"/>
    </xf>
    <xf numFmtId="164" fontId="37" fillId="0" borderId="40" xfId="1" applyNumberFormat="1" applyFont="1" applyBorder="1" applyAlignment="1">
      <alignment horizontal="right" vertical="center" wrapText="1"/>
    </xf>
    <xf numFmtId="164" fontId="37" fillId="0" borderId="41" xfId="1" applyNumberFormat="1" applyFont="1" applyBorder="1" applyAlignment="1">
      <alignment horizontal="right" vertical="center" wrapText="1"/>
    </xf>
    <xf numFmtId="164" fontId="26" fillId="3" borderId="47" xfId="1" applyNumberFormat="1" applyFont="1" applyFill="1" applyBorder="1" applyAlignment="1">
      <alignment horizontal="right" vertical="center" wrapText="1"/>
    </xf>
    <xf numFmtId="164" fontId="26" fillId="3" borderId="48" xfId="1" applyNumberFormat="1" applyFont="1" applyFill="1" applyBorder="1" applyAlignment="1">
      <alignment horizontal="right" vertical="center" wrapText="1"/>
    </xf>
    <xf numFmtId="164" fontId="1" fillId="3" borderId="48" xfId="1" applyNumberFormat="1" applyFont="1" applyFill="1" applyBorder="1" applyAlignment="1">
      <alignment horizontal="right" vertical="center" wrapText="1"/>
    </xf>
    <xf numFmtId="0" fontId="6" fillId="2" borderId="62" xfId="0" applyFont="1" applyFill="1" applyBorder="1" applyAlignment="1">
      <alignment horizontal="center" vertical="center" wrapText="1"/>
    </xf>
    <xf numFmtId="0" fontId="6" fillId="2" borderId="47"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58" fillId="0" borderId="0" xfId="0" applyFont="1" applyAlignment="1">
      <alignment vertical="center"/>
    </xf>
    <xf numFmtId="164" fontId="19" fillId="0" borderId="98" xfId="1" applyNumberFormat="1" applyFont="1" applyBorder="1" applyAlignment="1">
      <alignment horizontal="right"/>
    </xf>
    <xf numFmtId="164" fontId="19" fillId="0" borderId="127" xfId="1" applyNumberFormat="1" applyFont="1" applyBorder="1" applyAlignment="1">
      <alignment horizontal="right"/>
    </xf>
    <xf numFmtId="164" fontId="6" fillId="5" borderId="47" xfId="1" applyNumberFormat="1" applyFont="1" applyFill="1" applyBorder="1" applyAlignment="1">
      <alignment horizontal="right" vertical="center" wrapText="1"/>
    </xf>
    <xf numFmtId="0" fontId="20" fillId="12" borderId="63" xfId="0" applyFont="1" applyFill="1" applyBorder="1" applyAlignment="1">
      <alignment horizontal="center" vertical="center" wrapText="1"/>
    </xf>
    <xf numFmtId="0" fontId="20" fillId="12" borderId="72" xfId="0" applyFont="1" applyFill="1" applyBorder="1" applyAlignment="1">
      <alignment horizontal="center" vertical="center" wrapText="1"/>
    </xf>
    <xf numFmtId="164" fontId="6" fillId="5" borderId="48" xfId="1" applyNumberFormat="1" applyFont="1" applyFill="1" applyBorder="1" applyAlignment="1">
      <alignment horizontal="right" vertical="center" wrapText="1"/>
    </xf>
    <xf numFmtId="0" fontId="14" fillId="5" borderId="62" xfId="0" applyFont="1" applyFill="1" applyBorder="1" applyAlignment="1">
      <alignment vertical="center" wrapText="1"/>
    </xf>
    <xf numFmtId="0" fontId="14" fillId="2" borderId="62"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2" fillId="19" borderId="23" xfId="0" applyFont="1" applyFill="1" applyBorder="1" applyProtection="1">
      <protection hidden="1"/>
    </xf>
    <xf numFmtId="0" fontId="154" fillId="19" borderId="23" xfId="0" applyFont="1" applyFill="1" applyBorder="1" applyAlignment="1" applyProtection="1">
      <alignment horizontal="center" vertical="center"/>
      <protection hidden="1"/>
    </xf>
    <xf numFmtId="0" fontId="2" fillId="19" borderId="120" xfId="0" applyFont="1" applyFill="1" applyBorder="1" applyProtection="1">
      <protection hidden="1"/>
    </xf>
    <xf numFmtId="0" fontId="2" fillId="19" borderId="50" xfId="0" applyFont="1" applyFill="1" applyBorder="1" applyProtection="1">
      <protection hidden="1"/>
    </xf>
    <xf numFmtId="0" fontId="149" fillId="19" borderId="120" xfId="0" applyFont="1" applyFill="1" applyBorder="1" applyProtection="1">
      <protection hidden="1"/>
    </xf>
    <xf numFmtId="0" fontId="92" fillId="19" borderId="50" xfId="0" applyFont="1" applyFill="1" applyBorder="1" applyProtection="1">
      <protection hidden="1"/>
    </xf>
    <xf numFmtId="0" fontId="149" fillId="19" borderId="50" xfId="0" applyFont="1" applyFill="1" applyBorder="1" applyAlignment="1" applyProtection="1">
      <alignment horizontal="right"/>
      <protection hidden="1"/>
    </xf>
    <xf numFmtId="0" fontId="149" fillId="19" borderId="120" xfId="0" applyFont="1" applyFill="1" applyBorder="1" applyAlignment="1" applyProtection="1">
      <alignment horizontal="left"/>
      <protection hidden="1"/>
    </xf>
    <xf numFmtId="0" fontId="149" fillId="19" borderId="50" xfId="0" applyFont="1" applyFill="1" applyBorder="1" applyAlignment="1" applyProtection="1">
      <alignment horizontal="left"/>
      <protection hidden="1"/>
    </xf>
    <xf numFmtId="0" fontId="141" fillId="19" borderId="120" xfId="0" applyFont="1" applyFill="1" applyBorder="1" applyProtection="1">
      <protection hidden="1"/>
    </xf>
    <xf numFmtId="0" fontId="19" fillId="19" borderId="50" xfId="0" applyFont="1" applyFill="1" applyBorder="1" applyProtection="1">
      <protection hidden="1"/>
    </xf>
    <xf numFmtId="0" fontId="141" fillId="19" borderId="50" xfId="0" applyFont="1" applyFill="1" applyBorder="1" applyAlignment="1" applyProtection="1">
      <alignment horizontal="right"/>
      <protection hidden="1"/>
    </xf>
    <xf numFmtId="0" fontId="140" fillId="19" borderId="23" xfId="0" applyFont="1" applyFill="1" applyBorder="1" applyAlignment="1" applyProtection="1">
      <alignment horizontal="center" vertical="center"/>
      <protection hidden="1"/>
    </xf>
    <xf numFmtId="0" fontId="143" fillId="0" borderId="23" xfId="0" applyFont="1" applyBorder="1" applyAlignment="1" applyProtection="1">
      <alignment horizontal="center"/>
      <protection hidden="1"/>
    </xf>
    <xf numFmtId="0" fontId="19" fillId="0" borderId="0" xfId="0" quotePrefix="1" applyFont="1" applyAlignment="1">
      <alignment horizontal="left" vertical="center" indent="5"/>
    </xf>
    <xf numFmtId="0" fontId="158" fillId="17" borderId="24" xfId="0" applyFont="1" applyFill="1" applyBorder="1" applyAlignment="1">
      <alignment horizontal="center" vertical="center" wrapText="1"/>
    </xf>
    <xf numFmtId="0" fontId="14" fillId="2" borderId="66" xfId="0" applyFont="1" applyFill="1" applyBorder="1" applyAlignment="1">
      <alignment horizontal="left" vertical="center" wrapText="1"/>
    </xf>
    <xf numFmtId="165" fontId="7" fillId="0" borderId="74" xfId="4" applyNumberFormat="1" applyFont="1" applyBorder="1" applyAlignment="1">
      <alignment vertical="center" wrapText="1"/>
    </xf>
    <xf numFmtId="10" fontId="7" fillId="0" borderId="74" xfId="1" applyNumberFormat="1" applyFont="1" applyBorder="1" applyAlignment="1">
      <alignment vertical="center" wrapText="1"/>
    </xf>
    <xf numFmtId="0" fontId="2" fillId="0" borderId="0" xfId="0" applyFont="1" applyAlignment="1"/>
    <xf numFmtId="0" fontId="4" fillId="0" borderId="0" xfId="0" applyFont="1" applyAlignment="1">
      <alignment horizontal="left" vertical="center"/>
    </xf>
    <xf numFmtId="0" fontId="140" fillId="0" borderId="53" xfId="0" applyFont="1" applyBorder="1" applyAlignment="1" applyProtection="1">
      <protection hidden="1"/>
    </xf>
    <xf numFmtId="0" fontId="139" fillId="0" borderId="53" xfId="0" applyFont="1" applyBorder="1" applyAlignment="1" applyProtection="1">
      <protection hidden="1"/>
    </xf>
    <xf numFmtId="0" fontId="37" fillId="0" borderId="0" xfId="0" applyFont="1" applyAlignment="1">
      <alignment horizontal="left" vertical="center"/>
    </xf>
    <xf numFmtId="0" fontId="14" fillId="12" borderId="68" xfId="0" applyFont="1" applyFill="1" applyBorder="1" applyAlignment="1">
      <alignment horizontal="center" vertical="center" wrapText="1"/>
    </xf>
    <xf numFmtId="10" fontId="0" fillId="0" borderId="0" xfId="0" applyNumberFormat="1"/>
    <xf numFmtId="10" fontId="55" fillId="0" borderId="0" xfId="0" applyNumberFormat="1" applyFont="1"/>
    <xf numFmtId="10" fontId="14" fillId="2" borderId="48" xfId="0" applyNumberFormat="1" applyFont="1" applyFill="1" applyBorder="1" applyAlignment="1">
      <alignment horizontal="center" vertical="center" wrapText="1"/>
    </xf>
    <xf numFmtId="9" fontId="0" fillId="0" borderId="0" xfId="0" applyNumberFormat="1"/>
    <xf numFmtId="9" fontId="19" fillId="0" borderId="0" xfId="0" applyNumberFormat="1" applyFont="1"/>
    <xf numFmtId="9" fontId="7" fillId="0" borderId="23" xfId="0" applyNumberFormat="1" applyFont="1" applyBorder="1" applyAlignment="1">
      <alignment vertical="center" wrapText="1"/>
    </xf>
    <xf numFmtId="9" fontId="7" fillId="0" borderId="44" xfId="0" applyNumberFormat="1" applyFont="1" applyBorder="1" applyAlignment="1">
      <alignment vertical="center" wrapText="1"/>
    </xf>
    <xf numFmtId="37" fontId="7" fillId="0" borderId="44" xfId="1" applyNumberFormat="1" applyFont="1" applyBorder="1" applyAlignment="1">
      <alignment horizontal="right" vertical="center" wrapText="1"/>
    </xf>
    <xf numFmtId="37" fontId="7" fillId="0" borderId="23" xfId="1" applyNumberFormat="1" applyFont="1" applyBorder="1" applyAlignment="1">
      <alignment horizontal="right" vertical="center" wrapText="1"/>
    </xf>
    <xf numFmtId="37" fontId="7" fillId="0" borderId="40" xfId="1" applyNumberFormat="1" applyFont="1" applyBorder="1" applyAlignment="1">
      <alignment horizontal="right" vertical="center" wrapText="1"/>
    </xf>
    <xf numFmtId="9" fontId="63" fillId="2" borderId="18" xfId="0" applyNumberFormat="1" applyFont="1" applyFill="1" applyBorder="1" applyAlignment="1">
      <alignment horizontal="center" vertical="center" wrapText="1"/>
    </xf>
    <xf numFmtId="9" fontId="126" fillId="0" borderId="0" xfId="0" applyNumberFormat="1" applyFont="1"/>
    <xf numFmtId="10" fontId="19" fillId="0" borderId="0" xfId="0" applyNumberFormat="1" applyFont="1"/>
    <xf numFmtId="10" fontId="6" fillId="2" borderId="47" xfId="0" applyNumberFormat="1" applyFont="1" applyFill="1" applyBorder="1" applyAlignment="1">
      <alignment horizontal="center" vertical="center" wrapText="1"/>
    </xf>
    <xf numFmtId="0" fontId="14" fillId="2" borderId="48" xfId="4" applyNumberFormat="1" applyFont="1" applyFill="1" applyBorder="1" applyAlignment="1">
      <alignment horizontal="center" vertical="center" wrapText="1"/>
    </xf>
    <xf numFmtId="0" fontId="19" fillId="0" borderId="0" xfId="4" applyNumberFormat="1" applyFont="1"/>
    <xf numFmtId="0" fontId="55" fillId="0" borderId="0" xfId="0" applyFont="1" applyAlignment="1">
      <alignment horizontal="right"/>
    </xf>
    <xf numFmtId="49" fontId="144" fillId="0" borderId="0" xfId="2" applyNumberFormat="1" applyFont="1" applyBorder="1" applyAlignment="1" applyProtection="1">
      <protection hidden="1"/>
    </xf>
    <xf numFmtId="0" fontId="140" fillId="0" borderId="165" xfId="2" applyFont="1" applyBorder="1" applyAlignment="1" applyProtection="1">
      <protection hidden="1"/>
    </xf>
    <xf numFmtId="10" fontId="26" fillId="0" borderId="163" xfId="4" applyNumberFormat="1" applyFont="1" applyFill="1" applyBorder="1" applyAlignment="1">
      <alignment horizontal="right" vertical="center" wrapText="1"/>
    </xf>
    <xf numFmtId="166" fontId="37" fillId="0" borderId="44" xfId="1" applyNumberFormat="1" applyFont="1" applyBorder="1" applyAlignment="1">
      <alignment vertical="center" wrapText="1"/>
    </xf>
    <xf numFmtId="166" fontId="37" fillId="0" borderId="23" xfId="1" applyNumberFormat="1" applyFont="1" applyBorder="1" applyAlignment="1">
      <alignment vertical="center" wrapText="1"/>
    </xf>
    <xf numFmtId="166" fontId="37" fillId="3" borderId="47" xfId="1" applyNumberFormat="1" applyFont="1" applyFill="1" applyBorder="1" applyAlignment="1">
      <alignment vertical="center" wrapText="1"/>
    </xf>
    <xf numFmtId="10" fontId="0" fillId="0" borderId="0" xfId="4" applyNumberFormat="1" applyFont="1" applyAlignment="1">
      <alignment horizontal="right"/>
    </xf>
    <xf numFmtId="10" fontId="55" fillId="0" borderId="0" xfId="4" applyNumberFormat="1" applyFont="1" applyAlignment="1">
      <alignment horizontal="right"/>
    </xf>
    <xf numFmtId="10" fontId="3" fillId="0" borderId="76" xfId="4" applyNumberFormat="1" applyFont="1" applyBorder="1" applyAlignment="1">
      <alignment horizontal="right" vertical="center" wrapText="1"/>
    </xf>
    <xf numFmtId="10" fontId="3" fillId="0" borderId="74" xfId="4" applyNumberFormat="1" applyFont="1" applyBorder="1" applyAlignment="1">
      <alignment horizontal="right" vertical="center" wrapText="1"/>
    </xf>
    <xf numFmtId="10" fontId="3" fillId="0" borderId="75" xfId="4" applyNumberFormat="1" applyFont="1" applyBorder="1" applyAlignment="1">
      <alignment horizontal="right" vertical="center" wrapText="1"/>
    </xf>
    <xf numFmtId="10" fontId="3" fillId="0" borderId="0" xfId="4" applyNumberFormat="1" applyFont="1" applyBorder="1" applyAlignment="1">
      <alignment horizontal="right" vertical="center" wrapText="1"/>
    </xf>
    <xf numFmtId="0" fontId="13" fillId="0" borderId="6" xfId="0" applyFont="1" applyBorder="1" applyAlignment="1">
      <alignment horizontal="center" vertical="center" wrapText="1"/>
    </xf>
    <xf numFmtId="0" fontId="7" fillId="0" borderId="5" xfId="0" applyFont="1" applyBorder="1" applyAlignment="1">
      <alignment horizontal="center" vertical="center" wrapText="1"/>
    </xf>
    <xf numFmtId="0" fontId="141" fillId="0" borderId="0" xfId="2" applyFont="1" applyBorder="1" applyAlignment="1" applyProtection="1">
      <alignment horizontal="left"/>
      <protection hidden="1"/>
    </xf>
    <xf numFmtId="14" fontId="146" fillId="0" borderId="0" xfId="2" quotePrefix="1" applyNumberFormat="1" applyFont="1" applyBorder="1" applyAlignment="1" applyProtection="1">
      <alignment horizontal="left"/>
      <protection hidden="1"/>
    </xf>
    <xf numFmtId="0" fontId="141" fillId="0" borderId="0" xfId="2" applyFont="1" applyBorder="1" applyAlignment="1" applyProtection="1">
      <alignment horizontal="center"/>
      <protection hidden="1"/>
    </xf>
    <xf numFmtId="3" fontId="2" fillId="0" borderId="0" xfId="0" applyNumberFormat="1" applyFont="1" applyAlignment="1">
      <alignment horizontal="right"/>
    </xf>
    <xf numFmtId="3" fontId="0" fillId="0" borderId="0" xfId="0" applyNumberFormat="1" applyAlignment="1">
      <alignment horizontal="right"/>
    </xf>
    <xf numFmtId="3" fontId="20" fillId="2" borderId="5" xfId="0" applyNumberFormat="1" applyFont="1" applyFill="1" applyBorder="1" applyAlignment="1">
      <alignment horizontal="right" vertical="center" wrapText="1"/>
    </xf>
    <xf numFmtId="3" fontId="7" fillId="3" borderId="5" xfId="1" applyNumberFormat="1" applyFont="1" applyFill="1" applyBorder="1" applyAlignment="1">
      <alignment horizontal="right" vertical="center" wrapText="1" indent="1"/>
    </xf>
    <xf numFmtId="3" fontId="7" fillId="3" borderId="14" xfId="1" applyNumberFormat="1" applyFont="1" applyFill="1" applyBorder="1" applyAlignment="1">
      <alignment horizontal="right" vertical="center" wrapText="1" indent="1"/>
    </xf>
    <xf numFmtId="3" fontId="1" fillId="0" borderId="5" xfId="1" applyNumberFormat="1" applyFont="1" applyBorder="1" applyAlignment="1">
      <alignment horizontal="right" vertical="center" wrapText="1" indent="1"/>
    </xf>
    <xf numFmtId="3" fontId="7" fillId="0" borderId="5" xfId="1" applyNumberFormat="1" applyFont="1" applyBorder="1" applyAlignment="1">
      <alignment horizontal="right" vertical="center" wrapText="1" indent="1"/>
    </xf>
    <xf numFmtId="3" fontId="14" fillId="4" borderId="5" xfId="1" applyNumberFormat="1" applyFont="1" applyFill="1" applyBorder="1" applyAlignment="1">
      <alignment horizontal="right" vertical="center" wrapText="1" indent="1"/>
    </xf>
    <xf numFmtId="3" fontId="9" fillId="4" borderId="5" xfId="1" applyNumberFormat="1" applyFont="1" applyFill="1" applyBorder="1" applyAlignment="1">
      <alignment horizontal="right" vertical="center" wrapText="1" indent="1"/>
    </xf>
    <xf numFmtId="3" fontId="34" fillId="7" borderId="5" xfId="1" applyNumberFormat="1" applyFont="1" applyFill="1" applyBorder="1" applyAlignment="1">
      <alignment horizontal="right" vertical="center" wrapText="1" indent="1"/>
    </xf>
    <xf numFmtId="3" fontId="9" fillId="7" borderId="5" xfId="1" applyNumberFormat="1" applyFont="1" applyFill="1" applyBorder="1" applyAlignment="1">
      <alignment horizontal="right" vertical="center" wrapText="1" indent="1"/>
    </xf>
    <xf numFmtId="3" fontId="1" fillId="6" borderId="5" xfId="1" applyNumberFormat="1" applyFont="1" applyFill="1" applyBorder="1" applyAlignment="1">
      <alignment horizontal="right" vertical="center" wrapText="1" indent="1"/>
    </xf>
    <xf numFmtId="3" fontId="7" fillId="3" borderId="24" xfId="1" applyNumberFormat="1" applyFont="1" applyFill="1" applyBorder="1" applyAlignment="1">
      <alignment horizontal="right" vertical="center" wrapText="1" indent="1"/>
    </xf>
    <xf numFmtId="3" fontId="7" fillId="3" borderId="46" xfId="1" applyNumberFormat="1" applyFont="1" applyFill="1" applyBorder="1" applyAlignment="1">
      <alignment horizontal="right" vertical="center" wrapText="1" indent="1"/>
    </xf>
    <xf numFmtId="3" fontId="7" fillId="3" borderId="47" xfId="1" applyNumberFormat="1" applyFont="1" applyFill="1" applyBorder="1" applyAlignment="1">
      <alignment horizontal="right" vertical="center" wrapText="1" indent="1"/>
    </xf>
    <xf numFmtId="3" fontId="7" fillId="3" borderId="48" xfId="1" applyNumberFormat="1" applyFont="1" applyFill="1" applyBorder="1" applyAlignment="1">
      <alignment horizontal="right" vertical="center" wrapText="1" indent="1"/>
    </xf>
    <xf numFmtId="3" fontId="7" fillId="0" borderId="42" xfId="1" applyNumberFormat="1" applyFont="1" applyBorder="1" applyAlignment="1">
      <alignment horizontal="right" vertical="center" wrapText="1" indent="1"/>
    </xf>
    <xf numFmtId="3" fontId="7" fillId="0" borderId="43" xfId="1" applyNumberFormat="1" applyFont="1" applyBorder="1" applyAlignment="1">
      <alignment horizontal="right" vertical="center" wrapText="1" indent="1"/>
    </xf>
    <xf numFmtId="3" fontId="7" fillId="0" borderId="44" xfId="1" applyNumberFormat="1" applyFont="1" applyBorder="1" applyAlignment="1">
      <alignment horizontal="right" vertical="center" wrapText="1" indent="1"/>
    </xf>
    <xf numFmtId="3" fontId="7" fillId="0" borderId="45" xfId="1" applyNumberFormat="1" applyFont="1" applyBorder="1" applyAlignment="1">
      <alignment horizontal="right" vertical="center" wrapText="1" indent="1"/>
    </xf>
    <xf numFmtId="3" fontId="7" fillId="0" borderId="36" xfId="1" applyNumberFormat="1" applyFont="1" applyBorder="1" applyAlignment="1">
      <alignment horizontal="right" vertical="center" wrapText="1" indent="1"/>
    </xf>
    <xf numFmtId="3" fontId="7" fillId="0" borderId="33" xfId="1" applyNumberFormat="1" applyFont="1" applyBorder="1" applyAlignment="1">
      <alignment horizontal="right" vertical="center" wrapText="1" indent="1"/>
    </xf>
    <xf numFmtId="3" fontId="7" fillId="0" borderId="23" xfId="1" applyNumberFormat="1" applyFont="1" applyBorder="1" applyAlignment="1">
      <alignment horizontal="right" vertical="center" wrapText="1" indent="1"/>
    </xf>
    <xf numFmtId="3" fontId="7" fillId="0" borderId="29" xfId="1" applyNumberFormat="1" applyFont="1" applyBorder="1" applyAlignment="1">
      <alignment horizontal="right" vertical="center" wrapText="1" indent="1"/>
    </xf>
    <xf numFmtId="3" fontId="7" fillId="0" borderId="38" xfId="1" applyNumberFormat="1" applyFont="1" applyBorder="1" applyAlignment="1">
      <alignment horizontal="right" vertical="center" wrapText="1" indent="1"/>
    </xf>
    <xf numFmtId="3" fontId="7" fillId="0" borderId="39" xfId="1" applyNumberFormat="1" applyFont="1" applyBorder="1" applyAlignment="1">
      <alignment horizontal="right" vertical="center" wrapText="1" indent="1"/>
    </xf>
    <xf numFmtId="3" fontId="7" fillId="0" borderId="40" xfId="1" applyNumberFormat="1" applyFont="1" applyBorder="1" applyAlignment="1">
      <alignment horizontal="right" vertical="center" wrapText="1" indent="1"/>
    </xf>
    <xf numFmtId="3" fontId="7" fillId="0" borderId="41" xfId="1" applyNumberFormat="1" applyFont="1" applyBorder="1" applyAlignment="1">
      <alignment horizontal="right" vertical="center" wrapText="1" indent="1"/>
    </xf>
    <xf numFmtId="3" fontId="14" fillId="4" borderId="24" xfId="1" applyNumberFormat="1" applyFont="1" applyFill="1" applyBorder="1" applyAlignment="1">
      <alignment horizontal="right" vertical="center" wrapText="1" indent="1"/>
    </xf>
    <xf numFmtId="3" fontId="7" fillId="3" borderId="36" xfId="1" applyNumberFormat="1" applyFont="1" applyFill="1" applyBorder="1" applyAlignment="1">
      <alignment horizontal="right" vertical="center" wrapText="1" indent="1"/>
    </xf>
    <xf numFmtId="3" fontId="7" fillId="3" borderId="33" xfId="1" applyNumberFormat="1" applyFont="1" applyFill="1" applyBorder="1" applyAlignment="1">
      <alignment horizontal="right" vertical="center" wrapText="1" indent="1"/>
    </xf>
    <xf numFmtId="3" fontId="7" fillId="3" borderId="23" xfId="1" applyNumberFormat="1" applyFont="1" applyFill="1" applyBorder="1" applyAlignment="1">
      <alignment horizontal="right" vertical="center" wrapText="1" indent="1"/>
    </xf>
    <xf numFmtId="3" fontId="7" fillId="3" borderId="29" xfId="1" applyNumberFormat="1" applyFont="1" applyFill="1" applyBorder="1" applyAlignment="1">
      <alignment horizontal="right" vertical="center" wrapText="1" indent="1"/>
    </xf>
    <xf numFmtId="3" fontId="14" fillId="5" borderId="24" xfId="1" applyNumberFormat="1" applyFont="1" applyFill="1" applyBorder="1" applyAlignment="1">
      <alignment horizontal="right" vertical="center" wrapText="1" indent="1"/>
    </xf>
    <xf numFmtId="3" fontId="7" fillId="0" borderId="50" xfId="1" applyNumberFormat="1" applyFont="1" applyBorder="1" applyAlignment="1">
      <alignment horizontal="right" vertical="center" wrapText="1" indent="1"/>
    </xf>
    <xf numFmtId="3" fontId="7" fillId="0" borderId="51" xfId="1" applyNumberFormat="1" applyFont="1" applyBorder="1" applyAlignment="1">
      <alignment horizontal="right" vertical="center" wrapText="1" indent="1"/>
    </xf>
    <xf numFmtId="3" fontId="9" fillId="5" borderId="24" xfId="1" applyNumberFormat="1" applyFont="1" applyFill="1" applyBorder="1" applyAlignment="1">
      <alignment horizontal="right" vertical="center" wrapText="1" indent="1"/>
    </xf>
    <xf numFmtId="3" fontId="14" fillId="5" borderId="52" xfId="1" applyNumberFormat="1" applyFont="1" applyFill="1" applyBorder="1" applyAlignment="1">
      <alignment horizontal="right" vertical="center" wrapText="1" indent="1"/>
    </xf>
    <xf numFmtId="3" fontId="1" fillId="3" borderId="42" xfId="1" applyNumberFormat="1" applyFont="1" applyFill="1" applyBorder="1" applyAlignment="1">
      <alignment horizontal="right" vertical="center" wrapText="1" indent="1"/>
    </xf>
    <xf numFmtId="3" fontId="1" fillId="3" borderId="36" xfId="1" applyNumberFormat="1" applyFont="1" applyFill="1" applyBorder="1" applyAlignment="1">
      <alignment horizontal="right" vertical="center" wrapText="1" indent="1"/>
    </xf>
    <xf numFmtId="3" fontId="14" fillId="5" borderId="37" xfId="1" applyNumberFormat="1" applyFont="1" applyFill="1" applyBorder="1" applyAlignment="1">
      <alignment horizontal="right" vertical="center" wrapText="1" indent="1"/>
    </xf>
    <xf numFmtId="3" fontId="1" fillId="0" borderId="106" xfId="1" applyNumberFormat="1" applyFont="1" applyBorder="1" applyAlignment="1">
      <alignment horizontal="right" vertical="center" wrapText="1" indent="1"/>
    </xf>
    <xf numFmtId="3" fontId="1" fillId="0" borderId="107" xfId="1" applyNumberFormat="1" applyFont="1" applyBorder="1" applyAlignment="1">
      <alignment horizontal="right" vertical="center" wrapText="1" indent="1"/>
    </xf>
    <xf numFmtId="3" fontId="1" fillId="0" borderId="44" xfId="1" applyNumberFormat="1" applyFont="1" applyBorder="1" applyAlignment="1">
      <alignment horizontal="right" vertical="center" wrapText="1" indent="1"/>
    </xf>
    <xf numFmtId="3" fontId="1" fillId="0" borderId="100" xfId="1" applyNumberFormat="1" applyFont="1" applyBorder="1" applyAlignment="1">
      <alignment horizontal="right" vertical="center" wrapText="1" indent="1"/>
    </xf>
    <xf numFmtId="3" fontId="1" fillId="0" borderId="103" xfId="1" applyNumberFormat="1" applyFont="1" applyBorder="1" applyAlignment="1">
      <alignment horizontal="right" vertical="center" wrapText="1" indent="1"/>
    </xf>
    <xf numFmtId="3" fontId="1" fillId="0" borderId="94" xfId="1" applyNumberFormat="1" applyFont="1" applyBorder="1" applyAlignment="1">
      <alignment horizontal="right" vertical="center" wrapText="1" indent="1"/>
    </xf>
    <xf numFmtId="3" fontId="1" fillId="0" borderId="89" xfId="1" applyNumberFormat="1" applyFont="1" applyBorder="1" applyAlignment="1">
      <alignment horizontal="right" vertical="center" wrapText="1" indent="1"/>
    </xf>
    <xf numFmtId="3" fontId="1" fillId="0" borderId="23" xfId="1" applyNumberFormat="1" applyFont="1" applyBorder="1" applyAlignment="1">
      <alignment horizontal="right" vertical="center" wrapText="1" indent="1"/>
    </xf>
    <xf numFmtId="3" fontId="1" fillId="0" borderId="90" xfId="1" applyNumberFormat="1" applyFont="1" applyBorder="1" applyAlignment="1">
      <alignment horizontal="right" vertical="center" wrapText="1" indent="1"/>
    </xf>
    <xf numFmtId="3" fontId="1" fillId="0" borderId="83" xfId="1" applyNumberFormat="1" applyFont="1" applyBorder="1" applyAlignment="1">
      <alignment horizontal="right" vertical="center" wrapText="1" indent="1"/>
    </xf>
    <xf numFmtId="3" fontId="1" fillId="0" borderId="104" xfId="1" applyNumberFormat="1" applyFont="1" applyBorder="1" applyAlignment="1">
      <alignment horizontal="right" vertical="center" wrapText="1" indent="1"/>
    </xf>
    <xf numFmtId="3" fontId="1" fillId="0" borderId="105" xfId="1" applyNumberFormat="1" applyFont="1" applyBorder="1" applyAlignment="1">
      <alignment horizontal="right" vertical="center" wrapText="1" indent="1"/>
    </xf>
    <xf numFmtId="3" fontId="1" fillId="0" borderId="40" xfId="1" applyNumberFormat="1" applyFont="1" applyBorder="1" applyAlignment="1">
      <alignment horizontal="right" vertical="center" wrapText="1" indent="1"/>
    </xf>
    <xf numFmtId="3" fontId="1" fillId="0" borderId="101" xfId="1" applyNumberFormat="1" applyFont="1" applyBorder="1" applyAlignment="1">
      <alignment horizontal="right" vertical="center" wrapText="1" indent="1"/>
    </xf>
    <xf numFmtId="3" fontId="1" fillId="0" borderId="102" xfId="1" applyNumberFormat="1" applyFont="1" applyBorder="1" applyAlignment="1">
      <alignment horizontal="right" vertical="center" wrapText="1" indent="1"/>
    </xf>
    <xf numFmtId="3" fontId="1" fillId="3" borderId="57" xfId="1" applyNumberFormat="1" applyFont="1" applyFill="1" applyBorder="1" applyAlignment="1">
      <alignment horizontal="right" vertical="center" wrapText="1" indent="1"/>
    </xf>
    <xf numFmtId="3" fontId="7" fillId="0" borderId="106" xfId="1" applyNumberFormat="1" applyFont="1" applyBorder="1" applyAlignment="1">
      <alignment horizontal="right" vertical="center" wrapText="1" indent="1"/>
    </xf>
    <xf numFmtId="3" fontId="7" fillId="0" borderId="107" xfId="1" applyNumberFormat="1" applyFont="1" applyBorder="1" applyAlignment="1">
      <alignment horizontal="right" vertical="center" wrapText="1" indent="1"/>
    </xf>
    <xf numFmtId="3" fontId="7" fillId="0" borderId="100" xfId="1" applyNumberFormat="1" applyFont="1" applyBorder="1" applyAlignment="1">
      <alignment horizontal="right" vertical="center" wrapText="1" indent="1"/>
    </xf>
    <xf numFmtId="3" fontId="7" fillId="0" borderId="103" xfId="1" applyNumberFormat="1" applyFont="1" applyBorder="1" applyAlignment="1">
      <alignment horizontal="right" vertical="center" wrapText="1" indent="1"/>
    </xf>
    <xf numFmtId="3" fontId="7" fillId="0" borderId="94" xfId="1" applyNumberFormat="1" applyFont="1" applyBorder="1" applyAlignment="1">
      <alignment horizontal="right" vertical="center" wrapText="1" indent="1"/>
    </xf>
    <xf numFmtId="3" fontId="7" fillId="0" borderId="89" xfId="1" applyNumberFormat="1" applyFont="1" applyBorder="1" applyAlignment="1">
      <alignment horizontal="right" vertical="center" wrapText="1" indent="1"/>
    </xf>
    <xf numFmtId="3" fontId="7" fillId="0" borderId="90" xfId="1" applyNumberFormat="1" applyFont="1" applyBorder="1" applyAlignment="1">
      <alignment horizontal="right" vertical="center" wrapText="1" indent="1"/>
    </xf>
    <xf numFmtId="3" fontId="7" fillId="0" borderId="83" xfId="1" applyNumberFormat="1" applyFont="1" applyBorder="1" applyAlignment="1">
      <alignment horizontal="right" vertical="center" wrapText="1" indent="1"/>
    </xf>
    <xf numFmtId="3" fontId="7" fillId="0" borderId="104" xfId="1" applyNumberFormat="1" applyFont="1" applyBorder="1" applyAlignment="1">
      <alignment horizontal="right" vertical="center" wrapText="1" indent="1"/>
    </xf>
    <xf numFmtId="3" fontId="7" fillId="0" borderId="105" xfId="1" applyNumberFormat="1" applyFont="1" applyBorder="1" applyAlignment="1">
      <alignment horizontal="right" vertical="center" wrapText="1" indent="1"/>
    </xf>
    <xf numFmtId="3" fontId="7" fillId="0" borderId="101" xfId="1" applyNumberFormat="1" applyFont="1" applyBorder="1" applyAlignment="1">
      <alignment horizontal="right" vertical="center" wrapText="1" indent="1"/>
    </xf>
    <xf numFmtId="3" fontId="7" fillId="0" borderId="102" xfId="1" applyNumberFormat="1" applyFont="1" applyBorder="1" applyAlignment="1">
      <alignment horizontal="right" vertical="center" wrapText="1" indent="1"/>
    </xf>
    <xf numFmtId="3" fontId="7" fillId="3" borderId="57" xfId="1" applyNumberFormat="1" applyFont="1" applyFill="1" applyBorder="1" applyAlignment="1">
      <alignment horizontal="right" vertical="center" wrapText="1" indent="1"/>
    </xf>
    <xf numFmtId="3" fontId="7" fillId="3" borderId="80" xfId="1" applyNumberFormat="1" applyFont="1" applyFill="1" applyBorder="1" applyAlignment="1">
      <alignment horizontal="right" vertical="center" wrapText="1" indent="1"/>
    </xf>
    <xf numFmtId="3" fontId="7" fillId="8" borderId="106" xfId="1" applyNumberFormat="1" applyFont="1" applyFill="1" applyBorder="1" applyAlignment="1">
      <alignment horizontal="right" vertical="center" wrapText="1" indent="1"/>
    </xf>
    <xf numFmtId="3" fontId="7" fillId="8" borderId="107" xfId="1" applyNumberFormat="1" applyFont="1" applyFill="1" applyBorder="1" applyAlignment="1">
      <alignment horizontal="right" vertical="center" wrapText="1" indent="1"/>
    </xf>
    <xf numFmtId="3" fontId="7" fillId="8" borderId="44" xfId="1" applyNumberFormat="1" applyFont="1" applyFill="1" applyBorder="1" applyAlignment="1">
      <alignment horizontal="right" vertical="center" wrapText="1" indent="1"/>
    </xf>
    <xf numFmtId="3" fontId="7" fillId="8" borderId="100" xfId="1" applyNumberFormat="1" applyFont="1" applyFill="1" applyBorder="1" applyAlignment="1">
      <alignment horizontal="right" vertical="center" wrapText="1" indent="1"/>
    </xf>
    <xf numFmtId="3" fontId="7" fillId="8" borderId="103" xfId="1" applyNumberFormat="1" applyFont="1" applyFill="1" applyBorder="1" applyAlignment="1">
      <alignment horizontal="right" vertical="center" wrapText="1" indent="1"/>
    </xf>
    <xf numFmtId="3" fontId="9" fillId="8" borderId="95" xfId="1" applyNumberFormat="1" applyFont="1" applyFill="1" applyBorder="1" applyAlignment="1">
      <alignment horizontal="right" vertical="center" wrapText="1" indent="1"/>
    </xf>
    <xf numFmtId="3" fontId="9" fillId="8" borderId="84" xfId="1" applyNumberFormat="1" applyFont="1" applyFill="1" applyBorder="1" applyAlignment="1">
      <alignment horizontal="right" vertical="center" wrapText="1" indent="1"/>
    </xf>
    <xf numFmtId="3" fontId="19" fillId="0" borderId="72" xfId="1" applyNumberFormat="1" applyFont="1" applyBorder="1" applyAlignment="1">
      <alignment horizontal="right" vertical="center" wrapText="1" indent="1"/>
    </xf>
    <xf numFmtId="3" fontId="34" fillId="3" borderId="72" xfId="1" applyNumberFormat="1" applyFont="1" applyFill="1" applyBorder="1" applyAlignment="1">
      <alignment horizontal="right" vertical="center" wrapText="1" indent="1"/>
    </xf>
    <xf numFmtId="3" fontId="34" fillId="0" borderId="72" xfId="1" applyNumberFormat="1" applyFont="1" applyBorder="1" applyAlignment="1">
      <alignment horizontal="right" vertical="center" wrapText="1" indent="1"/>
    </xf>
    <xf numFmtId="3" fontId="34" fillId="11" borderId="72" xfId="1" applyNumberFormat="1" applyFont="1" applyFill="1" applyBorder="1" applyAlignment="1">
      <alignment horizontal="right" vertical="center" wrapText="1" indent="1"/>
    </xf>
    <xf numFmtId="3" fontId="7" fillId="0" borderId="53" xfId="1" applyNumberFormat="1" applyFont="1" applyBorder="1" applyAlignment="1">
      <alignment horizontal="right" vertical="center" wrapText="1" indent="1"/>
    </xf>
    <xf numFmtId="3" fontId="1" fillId="3" borderId="24" xfId="1" applyNumberFormat="1" applyFont="1" applyFill="1" applyBorder="1" applyAlignment="1">
      <alignment horizontal="right" vertical="center" wrapText="1" indent="1"/>
    </xf>
    <xf numFmtId="3" fontId="1" fillId="0" borderId="42" xfId="1" applyNumberFormat="1" applyFont="1" applyBorder="1" applyAlignment="1">
      <alignment horizontal="right" vertical="center" wrapText="1" indent="1"/>
    </xf>
    <xf numFmtId="3" fontId="1" fillId="0" borderId="53" xfId="1" applyNumberFormat="1" applyFont="1" applyBorder="1" applyAlignment="1">
      <alignment horizontal="right" vertical="center" wrapText="1" indent="1"/>
    </xf>
    <xf numFmtId="3" fontId="7" fillId="3" borderId="52" xfId="1" applyNumberFormat="1" applyFont="1" applyFill="1" applyBorder="1" applyAlignment="1">
      <alignment horizontal="right" vertical="center" wrapText="1" indent="1"/>
    </xf>
    <xf numFmtId="3" fontId="1" fillId="0" borderId="36" xfId="1" applyNumberFormat="1" applyFont="1" applyBorder="1" applyAlignment="1">
      <alignment horizontal="right" vertical="center" wrapText="1" indent="1"/>
    </xf>
    <xf numFmtId="3" fontId="7" fillId="0" borderId="64" xfId="1" applyNumberFormat="1" applyFont="1" applyBorder="1" applyAlignment="1">
      <alignment horizontal="right" vertical="center" wrapText="1" indent="1"/>
    </xf>
    <xf numFmtId="3" fontId="7" fillId="0" borderId="0" xfId="1" applyNumberFormat="1" applyFont="1" applyBorder="1" applyAlignment="1">
      <alignment horizontal="right" vertical="center" wrapText="1" indent="1"/>
    </xf>
    <xf numFmtId="3" fontId="1" fillId="3" borderId="52" xfId="1" applyNumberFormat="1" applyFont="1" applyFill="1" applyBorder="1" applyAlignment="1">
      <alignment horizontal="right" vertical="center" wrapText="1" indent="1"/>
    </xf>
    <xf numFmtId="3" fontId="1" fillId="3" borderId="47" xfId="1" applyNumberFormat="1" applyFont="1" applyFill="1" applyBorder="1" applyAlignment="1">
      <alignment horizontal="right" vertical="center" wrapText="1" indent="1"/>
    </xf>
    <xf numFmtId="3" fontId="7" fillId="0" borderId="44" xfId="4" applyNumberFormat="1" applyFont="1" applyBorder="1" applyAlignment="1">
      <alignment horizontal="right" vertical="center" wrapText="1" indent="1"/>
    </xf>
    <xf numFmtId="3" fontId="7" fillId="0" borderId="19" xfId="1" applyNumberFormat="1" applyFont="1" applyBorder="1" applyAlignment="1">
      <alignment horizontal="right" vertical="center" wrapText="1" indent="1"/>
    </xf>
    <xf numFmtId="3" fontId="1" fillId="0" borderId="19" xfId="1" applyNumberFormat="1" applyFont="1" applyBorder="1" applyAlignment="1">
      <alignment horizontal="right" vertical="center" wrapText="1" indent="1"/>
    </xf>
    <xf numFmtId="3" fontId="1" fillId="3" borderId="19" xfId="1" applyNumberFormat="1" applyFont="1" applyFill="1" applyBorder="1" applyAlignment="1">
      <alignment horizontal="right" vertical="center" wrapText="1" indent="1"/>
    </xf>
    <xf numFmtId="3" fontId="7" fillId="3" borderId="19" xfId="1" applyNumberFormat="1" applyFont="1" applyFill="1" applyBorder="1" applyAlignment="1">
      <alignment horizontal="right" vertical="center" wrapText="1" indent="1"/>
    </xf>
    <xf numFmtId="3" fontId="7" fillId="0" borderId="19" xfId="0" applyNumberFormat="1" applyFont="1" applyBorder="1" applyAlignment="1">
      <alignment horizontal="right" vertical="center" wrapText="1" indent="1"/>
    </xf>
    <xf numFmtId="3" fontId="1" fillId="3" borderId="19" xfId="0" applyNumberFormat="1" applyFont="1" applyFill="1" applyBorder="1" applyAlignment="1">
      <alignment horizontal="right" vertical="center" wrapText="1" indent="1"/>
    </xf>
    <xf numFmtId="3" fontId="7" fillId="3" borderId="19" xfId="0" applyNumberFormat="1" applyFont="1" applyFill="1" applyBorder="1" applyAlignment="1">
      <alignment horizontal="right" vertical="center" wrapText="1" indent="1"/>
    </xf>
    <xf numFmtId="3" fontId="7" fillId="0" borderId="42" xfId="0" applyNumberFormat="1" applyFont="1" applyBorder="1" applyAlignment="1">
      <alignment horizontal="right" vertical="center" wrapText="1" indent="1"/>
    </xf>
    <xf numFmtId="3" fontId="7" fillId="0" borderId="76" xfId="0" applyNumberFormat="1" applyFont="1" applyBorder="1" applyAlignment="1">
      <alignment horizontal="right" vertical="center" wrapText="1" indent="1"/>
    </xf>
    <xf numFmtId="3" fontId="7" fillId="0" borderId="36" xfId="0" applyNumberFormat="1" applyFont="1" applyBorder="1" applyAlignment="1">
      <alignment horizontal="right" vertical="center" wrapText="1" indent="1"/>
    </xf>
    <xf numFmtId="3" fontId="7" fillId="0" borderId="38" xfId="0" applyNumberFormat="1" applyFont="1" applyBorder="1" applyAlignment="1">
      <alignment horizontal="right" vertical="center" wrapText="1" indent="1"/>
    </xf>
    <xf numFmtId="3" fontId="1" fillId="3" borderId="24" xfId="0" applyNumberFormat="1" applyFont="1" applyFill="1" applyBorder="1" applyAlignment="1">
      <alignment horizontal="right" vertical="center" wrapText="1" indent="1"/>
    </xf>
    <xf numFmtId="3" fontId="7" fillId="3" borderId="24" xfId="0" applyNumberFormat="1" applyFont="1" applyFill="1" applyBorder="1" applyAlignment="1">
      <alignment horizontal="right" vertical="center" wrapText="1" indent="1"/>
    </xf>
    <xf numFmtId="3" fontId="7" fillId="0" borderId="45" xfId="4" applyNumberFormat="1" applyFont="1" applyBorder="1" applyAlignment="1">
      <alignment horizontal="right" vertical="center" wrapText="1" indent="1"/>
    </xf>
    <xf numFmtId="3" fontId="19" fillId="0" borderId="44" xfId="0" applyNumberFormat="1" applyFont="1" applyBorder="1" applyAlignment="1">
      <alignment horizontal="right" vertical="center" wrapText="1" indent="1"/>
    </xf>
    <xf numFmtId="3" fontId="19" fillId="0" borderId="44" xfId="1" applyNumberFormat="1" applyFont="1" applyBorder="1" applyAlignment="1">
      <alignment horizontal="right" vertical="center" wrapText="1" indent="1"/>
    </xf>
    <xf numFmtId="3" fontId="19" fillId="0" borderId="45" xfId="1" applyNumberFormat="1" applyFont="1" applyBorder="1" applyAlignment="1">
      <alignment horizontal="right" vertical="center" wrapText="1" indent="1"/>
    </xf>
    <xf numFmtId="3" fontId="19" fillId="0" borderId="23" xfId="0" applyNumberFormat="1" applyFont="1" applyBorder="1" applyAlignment="1">
      <alignment horizontal="right" vertical="center" wrapText="1" indent="1"/>
    </xf>
    <xf numFmtId="3" fontId="19" fillId="0" borderId="23" xfId="1" applyNumberFormat="1" applyFont="1" applyBorder="1" applyAlignment="1">
      <alignment horizontal="right" vertical="center" wrapText="1" indent="1"/>
    </xf>
    <xf numFmtId="3" fontId="19" fillId="0" borderId="29" xfId="1" applyNumberFormat="1" applyFont="1" applyBorder="1" applyAlignment="1">
      <alignment horizontal="right" vertical="center" wrapText="1" indent="1"/>
    </xf>
    <xf numFmtId="3" fontId="19" fillId="3" borderId="40" xfId="0" applyNumberFormat="1" applyFont="1" applyFill="1" applyBorder="1" applyAlignment="1">
      <alignment horizontal="right" vertical="center" wrapText="1" indent="1"/>
    </xf>
    <xf numFmtId="3" fontId="19" fillId="3" borderId="41" xfId="1" applyNumberFormat="1" applyFont="1" applyFill="1" applyBorder="1" applyAlignment="1">
      <alignment horizontal="right" vertical="center" wrapText="1" indent="1"/>
    </xf>
    <xf numFmtId="3" fontId="34" fillId="0" borderId="47" xfId="0" applyNumberFormat="1" applyFont="1" applyBorder="1" applyAlignment="1">
      <alignment horizontal="right" vertical="center" wrapText="1" indent="1"/>
    </xf>
    <xf numFmtId="3" fontId="34" fillId="0" borderId="47" xfId="1" applyNumberFormat="1" applyFont="1" applyBorder="1" applyAlignment="1">
      <alignment horizontal="right" vertical="center" wrapText="1" indent="1"/>
    </xf>
    <xf numFmtId="3" fontId="1" fillId="3" borderId="23" xfId="1" applyNumberFormat="1" applyFont="1" applyFill="1" applyBorder="1" applyAlignment="1">
      <alignment horizontal="right" vertical="center" wrapText="1" indent="1"/>
    </xf>
    <xf numFmtId="3" fontId="7" fillId="0" borderId="29" xfId="4" applyNumberFormat="1" applyFont="1" applyBorder="1" applyAlignment="1">
      <alignment horizontal="right" vertical="center" wrapText="1" indent="1"/>
    </xf>
    <xf numFmtId="3" fontId="1" fillId="0" borderId="31" xfId="1" applyNumberFormat="1" applyFont="1" applyBorder="1" applyAlignment="1">
      <alignment horizontal="right" vertical="center" wrapText="1" indent="1"/>
    </xf>
    <xf numFmtId="3" fontId="4" fillId="0" borderId="44" xfId="0" applyNumberFormat="1" applyFont="1" applyBorder="1" applyAlignment="1">
      <alignment horizontal="right" vertical="center" wrapText="1" indent="1"/>
    </xf>
    <xf numFmtId="3" fontId="4" fillId="0" borderId="45" xfId="0" applyNumberFormat="1" applyFont="1" applyBorder="1" applyAlignment="1">
      <alignment horizontal="right" vertical="center" wrapText="1" indent="1"/>
    </xf>
    <xf numFmtId="3" fontId="4" fillId="0" borderId="23" xfId="0" applyNumberFormat="1" applyFont="1" applyBorder="1" applyAlignment="1">
      <alignment horizontal="right" vertical="center" wrapText="1" indent="1"/>
    </xf>
    <xf numFmtId="3" fontId="4" fillId="0" borderId="29" xfId="0" applyNumberFormat="1" applyFont="1" applyBorder="1" applyAlignment="1">
      <alignment horizontal="right" vertical="center" wrapText="1" indent="1"/>
    </xf>
    <xf numFmtId="3" fontId="4" fillId="0" borderId="40" xfId="0" applyNumberFormat="1" applyFont="1" applyBorder="1" applyAlignment="1">
      <alignment horizontal="right" vertical="center" wrapText="1" indent="1"/>
    </xf>
    <xf numFmtId="3" fontId="4" fillId="0" borderId="41" xfId="0" applyNumberFormat="1" applyFont="1" applyBorder="1" applyAlignment="1">
      <alignment horizontal="right" vertical="center" wrapText="1" indent="1"/>
    </xf>
    <xf numFmtId="3" fontId="4" fillId="3" borderId="47" xfId="0" applyNumberFormat="1" applyFont="1" applyFill="1" applyBorder="1" applyAlignment="1">
      <alignment horizontal="right" vertical="center" wrapText="1" indent="1"/>
    </xf>
    <xf numFmtId="3" fontId="4" fillId="3" borderId="48" xfId="0" applyNumberFormat="1" applyFont="1" applyFill="1" applyBorder="1" applyAlignment="1">
      <alignment horizontal="right" vertical="center" wrapText="1" indent="1"/>
    </xf>
    <xf numFmtId="3" fontId="4" fillId="0" borderId="98" xfId="0" applyNumberFormat="1" applyFont="1" applyBorder="1" applyAlignment="1">
      <alignment horizontal="right" vertical="center" wrapText="1" indent="1"/>
    </xf>
    <xf numFmtId="3" fontId="4" fillId="0" borderId="127" xfId="0" applyNumberFormat="1" applyFont="1" applyBorder="1" applyAlignment="1">
      <alignment horizontal="right" vertical="center" wrapText="1" indent="1"/>
    </xf>
    <xf numFmtId="3" fontId="80" fillId="0" borderId="19" xfId="0" applyNumberFormat="1" applyFont="1" applyBorder="1" applyAlignment="1">
      <alignment horizontal="right" vertical="center" wrapText="1" indent="1"/>
    </xf>
    <xf numFmtId="3" fontId="82" fillId="3" borderId="19" xfId="0" applyNumberFormat="1" applyFont="1" applyFill="1" applyBorder="1" applyAlignment="1">
      <alignment horizontal="right" vertical="center" wrapText="1" indent="1"/>
    </xf>
    <xf numFmtId="3" fontId="80" fillId="3" borderId="19" xfId="0" applyNumberFormat="1" applyFont="1" applyFill="1" applyBorder="1" applyAlignment="1">
      <alignment horizontal="right" vertical="center" wrapText="1" indent="1"/>
    </xf>
    <xf numFmtId="3" fontId="19" fillId="0" borderId="40" xfId="1" applyNumberFormat="1" applyFont="1" applyBorder="1" applyAlignment="1">
      <alignment horizontal="right" vertical="center" wrapText="1" indent="1"/>
    </xf>
    <xf numFmtId="3" fontId="19" fillId="0" borderId="41" xfId="1" applyNumberFormat="1" applyFont="1" applyBorder="1" applyAlignment="1">
      <alignment horizontal="right" vertical="center" wrapText="1" indent="1"/>
    </xf>
    <xf numFmtId="3" fontId="34" fillId="3" borderId="47" xfId="1" applyNumberFormat="1" applyFont="1" applyFill="1" applyBorder="1" applyAlignment="1">
      <alignment horizontal="right" vertical="center" wrapText="1" indent="1"/>
    </xf>
    <xf numFmtId="3" fontId="19" fillId="3" borderId="47" xfId="1" applyNumberFormat="1" applyFont="1" applyFill="1" applyBorder="1" applyAlignment="1">
      <alignment horizontal="right" vertical="center" wrapText="1" indent="1"/>
    </xf>
    <xf numFmtId="3" fontId="19" fillId="3" borderId="48" xfId="1" applyNumberFormat="1" applyFont="1" applyFill="1" applyBorder="1" applyAlignment="1">
      <alignment horizontal="right" vertical="center" wrapText="1" indent="1"/>
    </xf>
    <xf numFmtId="3" fontId="19" fillId="0" borderId="45" xfId="0" applyNumberFormat="1" applyFont="1" applyBorder="1" applyAlignment="1">
      <alignment horizontal="right" vertical="center" wrapText="1" indent="1"/>
    </xf>
    <xf numFmtId="3" fontId="19" fillId="3" borderId="132" xfId="0" applyNumberFormat="1" applyFont="1" applyFill="1" applyBorder="1" applyAlignment="1">
      <alignment horizontal="right" vertical="center" wrapText="1" indent="1"/>
    </xf>
    <xf numFmtId="3" fontId="19" fillId="3" borderId="133" xfId="0" applyNumberFormat="1" applyFont="1" applyFill="1" applyBorder="1" applyAlignment="1">
      <alignment horizontal="right" vertical="center" wrapText="1" indent="1"/>
    </xf>
    <xf numFmtId="3" fontId="19" fillId="3" borderId="134" xfId="0" applyNumberFormat="1" applyFont="1" applyFill="1" applyBorder="1" applyAlignment="1">
      <alignment horizontal="right" vertical="center" wrapText="1" indent="1"/>
    </xf>
    <xf numFmtId="3" fontId="19" fillId="3" borderId="135" xfId="0" applyNumberFormat="1" applyFont="1" applyFill="1" applyBorder="1" applyAlignment="1">
      <alignment horizontal="right" vertical="center" wrapText="1" indent="1"/>
    </xf>
    <xf numFmtId="3" fontId="19" fillId="3" borderId="136" xfId="0" applyNumberFormat="1" applyFont="1" applyFill="1" applyBorder="1" applyAlignment="1">
      <alignment horizontal="right" vertical="center" wrapText="1" indent="1"/>
    </xf>
    <xf numFmtId="3" fontId="19" fillId="3" borderId="137" xfId="0" applyNumberFormat="1" applyFont="1" applyFill="1" applyBorder="1" applyAlignment="1">
      <alignment horizontal="right" vertical="center" wrapText="1" indent="1"/>
    </xf>
    <xf numFmtId="3" fontId="7" fillId="0" borderId="131" xfId="0" applyNumberFormat="1" applyFont="1" applyBorder="1" applyAlignment="1">
      <alignment horizontal="right" vertical="center" wrapText="1" indent="1"/>
    </xf>
    <xf numFmtId="3" fontId="1" fillId="3" borderId="48" xfId="1" applyNumberFormat="1" applyFont="1" applyFill="1" applyBorder="1" applyAlignment="1">
      <alignment horizontal="right" vertical="center" wrapText="1" indent="1"/>
    </xf>
    <xf numFmtId="3" fontId="7" fillId="0" borderId="44" xfId="0" applyNumberFormat="1" applyFont="1" applyBorder="1" applyAlignment="1">
      <alignment horizontal="right" vertical="center" wrapText="1" indent="1"/>
    </xf>
    <xf numFmtId="3" fontId="7" fillId="0" borderId="23" xfId="0" applyNumberFormat="1" applyFont="1" applyBorder="1" applyAlignment="1">
      <alignment horizontal="right" vertical="center" wrapText="1" indent="1"/>
    </xf>
    <xf numFmtId="3" fontId="7" fillId="0" borderId="40" xfId="0" applyNumberFormat="1" applyFont="1" applyBorder="1" applyAlignment="1">
      <alignment horizontal="right" vertical="center" wrapText="1" indent="1"/>
    </xf>
    <xf numFmtId="3" fontId="7" fillId="3" borderId="47" xfId="0" applyNumberFormat="1" applyFont="1" applyFill="1" applyBorder="1" applyAlignment="1">
      <alignment horizontal="right" vertical="center" wrapText="1" indent="1"/>
    </xf>
    <xf numFmtId="3" fontId="7" fillId="3" borderId="23" xfId="0" applyNumberFormat="1" applyFont="1" applyFill="1" applyBorder="1" applyAlignment="1">
      <alignment horizontal="right" vertical="center" wrapText="1" indent="1"/>
    </xf>
    <xf numFmtId="3" fontId="9" fillId="5" borderId="47" xfId="0" applyNumberFormat="1" applyFont="1" applyFill="1" applyBorder="1" applyAlignment="1">
      <alignment horizontal="right" vertical="center" wrapText="1" indent="1"/>
    </xf>
    <xf numFmtId="3" fontId="7" fillId="0" borderId="45" xfId="0" applyNumberFormat="1" applyFont="1" applyBorder="1" applyAlignment="1">
      <alignment horizontal="right" vertical="center" wrapText="1" indent="1"/>
    </xf>
    <xf numFmtId="3" fontId="7" fillId="0" borderId="29" xfId="0" applyNumberFormat="1" applyFont="1" applyBorder="1" applyAlignment="1">
      <alignment horizontal="right" vertical="center" wrapText="1" indent="1"/>
    </xf>
    <xf numFmtId="3" fontId="9" fillId="5" borderId="31" xfId="0" applyNumberFormat="1" applyFont="1" applyFill="1" applyBorder="1" applyAlignment="1">
      <alignment horizontal="right" vertical="center" wrapText="1" indent="1"/>
    </xf>
    <xf numFmtId="3" fontId="9" fillId="5" borderId="32" xfId="0" applyNumberFormat="1" applyFont="1" applyFill="1" applyBorder="1" applyAlignment="1">
      <alignment horizontal="right" vertical="center" wrapText="1" indent="1"/>
    </xf>
    <xf numFmtId="3" fontId="55" fillId="0" borderId="26" xfId="0" applyNumberFormat="1" applyFont="1" applyBorder="1" applyAlignment="1">
      <alignment horizontal="right" indent="1"/>
    </xf>
    <xf numFmtId="3" fontId="55" fillId="0" borderId="27" xfId="0" applyNumberFormat="1" applyFont="1" applyBorder="1" applyAlignment="1">
      <alignment horizontal="right" indent="1"/>
    </xf>
    <xf numFmtId="3" fontId="14" fillId="4" borderId="47" xfId="1" applyNumberFormat="1" applyFont="1" applyFill="1" applyBorder="1" applyAlignment="1">
      <alignment horizontal="right" vertical="center" wrapText="1" indent="1"/>
    </xf>
    <xf numFmtId="3" fontId="7" fillId="0" borderId="98" xfId="1" applyNumberFormat="1" applyFont="1" applyBorder="1" applyAlignment="1">
      <alignment horizontal="right" vertical="center" wrapText="1" indent="1"/>
    </xf>
    <xf numFmtId="3" fontId="14" fillId="5" borderId="47" xfId="1" applyNumberFormat="1" applyFont="1" applyFill="1" applyBorder="1" applyAlignment="1">
      <alignment horizontal="right" vertical="center" wrapText="1" indent="1"/>
    </xf>
    <xf numFmtId="3" fontId="92" fillId="0" borderId="23" xfId="0" applyNumberFormat="1" applyFont="1" applyBorder="1" applyAlignment="1">
      <alignment horizontal="right" vertical="center" wrapText="1" indent="1"/>
    </xf>
    <xf numFmtId="3" fontId="92" fillId="0" borderId="23" xfId="1" applyNumberFormat="1" applyFont="1" applyBorder="1" applyAlignment="1">
      <alignment horizontal="right" vertical="center" wrapText="1" indent="1"/>
    </xf>
    <xf numFmtId="3" fontId="92" fillId="0" borderId="29" xfId="1" applyNumberFormat="1" applyFont="1" applyBorder="1" applyAlignment="1">
      <alignment horizontal="right" vertical="center" wrapText="1" indent="1"/>
    </xf>
    <xf numFmtId="3" fontId="92" fillId="0" borderId="40" xfId="0" applyNumberFormat="1" applyFont="1" applyBorder="1" applyAlignment="1">
      <alignment horizontal="right" vertical="center" wrapText="1" indent="1"/>
    </xf>
    <xf numFmtId="3" fontId="92" fillId="0" borderId="40" xfId="1" applyNumberFormat="1" applyFont="1" applyBorder="1" applyAlignment="1">
      <alignment horizontal="right" vertical="center" wrapText="1" indent="1"/>
    </xf>
    <xf numFmtId="3" fontId="93" fillId="0" borderId="47" xfId="0" applyNumberFormat="1" applyFont="1" applyBorder="1" applyAlignment="1">
      <alignment horizontal="right" vertical="center" wrapText="1" indent="1"/>
    </xf>
    <xf numFmtId="3" fontId="93" fillId="0" borderId="47" xfId="1" applyNumberFormat="1" applyFont="1" applyBorder="1" applyAlignment="1">
      <alignment horizontal="right" vertical="center" wrapText="1" indent="1"/>
    </xf>
    <xf numFmtId="3" fontId="92" fillId="0" borderId="44" xfId="0" applyNumberFormat="1" applyFont="1" applyBorder="1" applyAlignment="1">
      <alignment horizontal="right" vertical="center" wrapText="1" indent="1"/>
    </xf>
    <xf numFmtId="3" fontId="92" fillId="0" borderId="44" xfId="1" applyNumberFormat="1" applyFont="1" applyBorder="1" applyAlignment="1">
      <alignment horizontal="right" vertical="center" wrapText="1" indent="1"/>
    </xf>
    <xf numFmtId="3" fontId="92" fillId="0" borderId="45" xfId="1" applyNumberFormat="1" applyFont="1" applyBorder="1" applyAlignment="1">
      <alignment horizontal="right" vertical="center" wrapText="1" indent="1"/>
    </xf>
    <xf numFmtId="3" fontId="93" fillId="0" borderId="23" xfId="0" applyNumberFormat="1" applyFont="1" applyBorder="1" applyAlignment="1">
      <alignment horizontal="right" vertical="center" wrapText="1" indent="1"/>
    </xf>
    <xf numFmtId="3" fontId="93" fillId="0" borderId="23" xfId="1" applyNumberFormat="1" applyFont="1" applyBorder="1" applyAlignment="1">
      <alignment horizontal="right" vertical="center" wrapText="1" indent="1"/>
    </xf>
    <xf numFmtId="3" fontId="92" fillId="0" borderId="31" xfId="0" applyNumberFormat="1" applyFont="1" applyBorder="1" applyAlignment="1">
      <alignment horizontal="right" vertical="center" wrapText="1" indent="1"/>
    </xf>
    <xf numFmtId="3" fontId="92" fillId="0" borderId="31" xfId="1" applyNumberFormat="1" applyFont="1" applyBorder="1" applyAlignment="1">
      <alignment horizontal="right" vertical="center" wrapText="1" indent="1"/>
    </xf>
    <xf numFmtId="3" fontId="92" fillId="0" borderId="32" xfId="1" applyNumberFormat="1" applyFont="1" applyBorder="1" applyAlignment="1">
      <alignment horizontal="right" vertical="center" wrapText="1" indent="1"/>
    </xf>
    <xf numFmtId="3" fontId="92" fillId="0" borderId="0" xfId="0" applyNumberFormat="1" applyFont="1" applyAlignment="1">
      <alignment horizontal="right" vertical="center" wrapText="1" indent="1"/>
    </xf>
    <xf numFmtId="3" fontId="92" fillId="0" borderId="71" xfId="0" applyNumberFormat="1" applyFont="1" applyBorder="1" applyAlignment="1">
      <alignment horizontal="right" vertical="center" wrapText="1" indent="1"/>
    </xf>
    <xf numFmtId="3" fontId="92" fillId="0" borderId="69" xfId="0" applyNumberFormat="1" applyFont="1" applyBorder="1" applyAlignment="1">
      <alignment horizontal="right" vertical="center" wrapText="1" indent="1"/>
    </xf>
    <xf numFmtId="3" fontId="92" fillId="0" borderId="0" xfId="0" applyNumberFormat="1" applyFont="1" applyBorder="1" applyAlignment="1">
      <alignment horizontal="right" vertical="center" wrapText="1" indent="1"/>
    </xf>
    <xf numFmtId="3" fontId="92" fillId="0" borderId="0" xfId="1" applyNumberFormat="1" applyFont="1" applyAlignment="1">
      <alignment horizontal="right" vertical="center" wrapText="1" indent="1"/>
    </xf>
    <xf numFmtId="3" fontId="92" fillId="0" borderId="26" xfId="0" applyNumberFormat="1" applyFont="1" applyBorder="1" applyAlignment="1">
      <alignment horizontal="right" vertical="center" wrapText="1" indent="1"/>
    </xf>
    <xf numFmtId="3" fontId="92" fillId="0" borderId="26" xfId="1" applyNumberFormat="1" applyFont="1" applyBorder="1" applyAlignment="1">
      <alignment horizontal="right" vertical="center" wrapText="1" indent="1"/>
    </xf>
    <xf numFmtId="3" fontId="92" fillId="0" borderId="27" xfId="1" applyNumberFormat="1" applyFont="1" applyBorder="1" applyAlignment="1">
      <alignment horizontal="right" vertical="center" wrapText="1" indent="1"/>
    </xf>
    <xf numFmtId="3" fontId="92" fillId="3" borderId="134" xfId="0" applyNumberFormat="1" applyFont="1" applyFill="1" applyBorder="1" applyAlignment="1">
      <alignment horizontal="right" vertical="center" wrapText="1" indent="1"/>
    </xf>
    <xf numFmtId="3" fontId="92" fillId="3" borderId="135" xfId="0" applyNumberFormat="1" applyFont="1" applyFill="1" applyBorder="1" applyAlignment="1">
      <alignment horizontal="right" vertical="center" wrapText="1" indent="1"/>
    </xf>
    <xf numFmtId="3" fontId="92" fillId="3" borderId="136" xfId="0" applyNumberFormat="1" applyFont="1" applyFill="1" applyBorder="1" applyAlignment="1">
      <alignment horizontal="right" vertical="center" wrapText="1" indent="1"/>
    </xf>
    <xf numFmtId="3" fontId="92" fillId="3" borderId="137" xfId="0" applyNumberFormat="1" applyFont="1" applyFill="1" applyBorder="1" applyAlignment="1">
      <alignment horizontal="right" vertical="center" wrapText="1" indent="1"/>
    </xf>
    <xf numFmtId="3" fontId="19" fillId="0" borderId="118" xfId="1" applyNumberFormat="1" applyFont="1" applyBorder="1" applyAlignment="1">
      <alignment horizontal="right" vertical="center" wrapText="1" indent="1"/>
    </xf>
    <xf numFmtId="3" fontId="34" fillId="15" borderId="72" xfId="1" applyNumberFormat="1" applyFont="1" applyFill="1" applyBorder="1" applyAlignment="1">
      <alignment horizontal="right" vertical="center" wrapText="1" indent="1"/>
    </xf>
    <xf numFmtId="3" fontId="19" fillId="0" borderId="24" xfId="1" applyNumberFormat="1" applyFont="1" applyBorder="1" applyAlignment="1">
      <alignment horizontal="right" vertical="center" wrapText="1" indent="1"/>
    </xf>
    <xf numFmtId="3" fontId="14" fillId="8" borderId="72" xfId="1" applyNumberFormat="1" applyFont="1" applyFill="1" applyBorder="1" applyAlignment="1">
      <alignment horizontal="right" vertical="center" wrapText="1" indent="1"/>
    </xf>
    <xf numFmtId="3" fontId="7" fillId="0" borderId="23" xfId="4" applyNumberFormat="1" applyFont="1" applyBorder="1" applyAlignment="1">
      <alignment horizontal="right" vertical="center" wrapText="1" indent="1"/>
    </xf>
    <xf numFmtId="3" fontId="7" fillId="0" borderId="98" xfId="0" applyNumberFormat="1" applyFont="1" applyBorder="1" applyAlignment="1">
      <alignment horizontal="right" vertical="center" wrapText="1" indent="1"/>
    </xf>
    <xf numFmtId="3" fontId="33" fillId="3" borderId="47" xfId="0" applyNumberFormat="1" applyFont="1" applyFill="1" applyBorder="1" applyAlignment="1">
      <alignment horizontal="right" vertical="center" wrapText="1" indent="1"/>
    </xf>
    <xf numFmtId="3" fontId="33" fillId="3" borderId="48" xfId="0" applyNumberFormat="1" applyFont="1" applyFill="1" applyBorder="1" applyAlignment="1">
      <alignment horizontal="right" vertical="center" wrapText="1" indent="1"/>
    </xf>
    <xf numFmtId="3" fontId="10" fillId="0" borderId="44" xfId="1" applyNumberFormat="1" applyFont="1" applyBorder="1" applyAlignment="1">
      <alignment horizontal="right" vertical="center" wrapText="1" indent="1"/>
    </xf>
    <xf numFmtId="3" fontId="10" fillId="0" borderId="45" xfId="1" applyNumberFormat="1" applyFont="1" applyBorder="1" applyAlignment="1">
      <alignment horizontal="right" vertical="center" wrapText="1" indent="1"/>
    </xf>
    <xf numFmtId="3" fontId="10" fillId="0" borderId="23" xfId="1" applyNumberFormat="1" applyFont="1" applyBorder="1" applyAlignment="1">
      <alignment horizontal="right" vertical="center" wrapText="1" indent="1"/>
    </xf>
    <xf numFmtId="3" fontId="10" fillId="0" borderId="29" xfId="1" applyNumberFormat="1" applyFont="1" applyBorder="1" applyAlignment="1">
      <alignment horizontal="right" vertical="center" wrapText="1" indent="1"/>
    </xf>
    <xf numFmtId="3" fontId="10" fillId="0" borderId="40" xfId="1" applyNumberFormat="1" applyFont="1" applyBorder="1" applyAlignment="1">
      <alignment horizontal="right" vertical="center" wrapText="1" indent="1"/>
    </xf>
    <xf numFmtId="3" fontId="10" fillId="0" borderId="41" xfId="1" applyNumberFormat="1" applyFont="1" applyBorder="1" applyAlignment="1">
      <alignment horizontal="right" vertical="center" wrapText="1" indent="1"/>
    </xf>
    <xf numFmtId="3" fontId="33" fillId="3" borderId="47" xfId="1" applyNumberFormat="1" applyFont="1" applyFill="1" applyBorder="1" applyAlignment="1">
      <alignment horizontal="right" vertical="center" wrapText="1" indent="1"/>
    </xf>
    <xf numFmtId="3" fontId="33" fillId="3" borderId="48" xfId="1" applyNumberFormat="1" applyFont="1" applyFill="1" applyBorder="1" applyAlignment="1">
      <alignment horizontal="right" vertical="center" wrapText="1" indent="1"/>
    </xf>
    <xf numFmtId="3" fontId="10" fillId="3" borderId="47" xfId="1" applyNumberFormat="1" applyFont="1" applyFill="1" applyBorder="1" applyAlignment="1">
      <alignment horizontal="right" vertical="center" wrapText="1" indent="1"/>
    </xf>
    <xf numFmtId="3" fontId="10" fillId="3" borderId="48" xfId="1" applyNumberFormat="1" applyFont="1" applyFill="1" applyBorder="1" applyAlignment="1">
      <alignment horizontal="right" vertical="center" wrapText="1" indent="1"/>
    </xf>
    <xf numFmtId="3" fontId="10" fillId="0" borderId="31" xfId="1" applyNumberFormat="1" applyFont="1" applyBorder="1" applyAlignment="1">
      <alignment horizontal="right" vertical="center" wrapText="1" indent="1"/>
    </xf>
    <xf numFmtId="3" fontId="10" fillId="0" borderId="32" xfId="1" applyNumberFormat="1" applyFont="1" applyBorder="1" applyAlignment="1">
      <alignment horizontal="right" vertical="center" wrapText="1" indent="1"/>
    </xf>
    <xf numFmtId="3" fontId="37" fillId="0" borderId="19" xfId="1" applyNumberFormat="1" applyFont="1" applyBorder="1" applyAlignment="1">
      <alignment horizontal="right" vertical="center" wrapText="1" indent="1"/>
    </xf>
    <xf numFmtId="3" fontId="37" fillId="0" borderId="19" xfId="4" applyNumberFormat="1" applyFont="1" applyBorder="1" applyAlignment="1">
      <alignment horizontal="right" vertical="center" wrapText="1" indent="1"/>
    </xf>
    <xf numFmtId="3" fontId="37" fillId="3" borderId="19" xfId="1" applyNumberFormat="1" applyFont="1" applyFill="1" applyBorder="1" applyAlignment="1">
      <alignment horizontal="right" vertical="center" wrapText="1" indent="1"/>
    </xf>
    <xf numFmtId="3" fontId="37" fillId="3" borderId="19" xfId="0" applyNumberFormat="1" applyFont="1" applyFill="1" applyBorder="1" applyAlignment="1">
      <alignment horizontal="right" vertical="center" wrapText="1" indent="1"/>
    </xf>
    <xf numFmtId="3" fontId="21" fillId="14" borderId="19" xfId="1" applyNumberFormat="1" applyFont="1" applyFill="1" applyBorder="1" applyAlignment="1">
      <alignment horizontal="right" vertical="center" wrapText="1" indent="1"/>
    </xf>
    <xf numFmtId="3" fontId="21" fillId="14" borderId="3" xfId="0" applyNumberFormat="1" applyFont="1" applyFill="1" applyBorder="1" applyAlignment="1">
      <alignment horizontal="right" vertical="center" wrapText="1" indent="1"/>
    </xf>
    <xf numFmtId="3" fontId="21" fillId="13" borderId="19" xfId="1" applyNumberFormat="1" applyFont="1" applyFill="1" applyBorder="1" applyAlignment="1">
      <alignment horizontal="right" vertical="center" wrapText="1" indent="1"/>
    </xf>
    <xf numFmtId="3" fontId="21" fillId="13" borderId="19" xfId="0" applyNumberFormat="1" applyFont="1" applyFill="1" applyBorder="1" applyAlignment="1">
      <alignment horizontal="right" vertical="center" wrapText="1" indent="1"/>
    </xf>
    <xf numFmtId="3" fontId="37" fillId="0" borderId="19" xfId="0" applyNumberFormat="1" applyFont="1" applyBorder="1" applyAlignment="1">
      <alignment horizontal="right" vertical="center" wrapText="1" indent="1"/>
    </xf>
    <xf numFmtId="3" fontId="26" fillId="0" borderId="19" xfId="1" applyNumberFormat="1" applyFont="1" applyBorder="1" applyAlignment="1">
      <alignment horizontal="right" vertical="center" wrapText="1" indent="1"/>
    </xf>
    <xf numFmtId="3" fontId="20" fillId="13" borderId="19" xfId="1" applyNumberFormat="1" applyFont="1" applyFill="1" applyBorder="1" applyAlignment="1">
      <alignment horizontal="right" vertical="center" wrapText="1" indent="1"/>
    </xf>
    <xf numFmtId="3" fontId="20" fillId="13" borderId="19" xfId="4" applyNumberFormat="1" applyFont="1" applyFill="1" applyBorder="1" applyAlignment="1">
      <alignment horizontal="right" vertical="center" wrapText="1" indent="1"/>
    </xf>
    <xf numFmtId="3" fontId="37" fillId="0" borderId="20" xfId="1" applyNumberFormat="1" applyFont="1" applyBorder="1" applyAlignment="1">
      <alignment horizontal="right" vertical="center" wrapText="1" indent="1"/>
    </xf>
    <xf numFmtId="3" fontId="37" fillId="0" borderId="20" xfId="4" applyNumberFormat="1" applyFont="1" applyBorder="1" applyAlignment="1">
      <alignment horizontal="right" vertical="center" wrapText="1" indent="1"/>
    </xf>
    <xf numFmtId="3" fontId="21" fillId="0" borderId="19" xfId="1" applyNumberFormat="1" applyFont="1" applyBorder="1" applyAlignment="1">
      <alignment horizontal="right" vertical="center" wrapText="1" indent="1"/>
    </xf>
    <xf numFmtId="3" fontId="20" fillId="13" borderId="21" xfId="1" applyNumberFormat="1" applyFont="1" applyFill="1" applyBorder="1" applyAlignment="1">
      <alignment horizontal="right" vertical="center" wrapText="1" indent="1"/>
    </xf>
    <xf numFmtId="3" fontId="1" fillId="3" borderId="12" xfId="1" applyNumberFormat="1" applyFont="1" applyFill="1" applyBorder="1" applyAlignment="1">
      <alignment horizontal="right" vertical="center" wrapText="1" indent="1"/>
    </xf>
    <xf numFmtId="3" fontId="7" fillId="0" borderId="12" xfId="1" applyNumberFormat="1" applyFont="1" applyBorder="1" applyAlignment="1">
      <alignment horizontal="right" vertical="center" wrapText="1" indent="1"/>
    </xf>
    <xf numFmtId="3" fontId="8" fillId="0" borderId="12" xfId="1" applyNumberFormat="1" applyFont="1" applyBorder="1" applyAlignment="1">
      <alignment horizontal="right" vertical="center" wrapText="1" indent="1"/>
    </xf>
    <xf numFmtId="3" fontId="14" fillId="4" borderId="12" xfId="1" applyNumberFormat="1" applyFont="1" applyFill="1" applyBorder="1" applyAlignment="1">
      <alignment horizontal="right" vertical="center" wrapText="1" indent="1"/>
    </xf>
    <xf numFmtId="3" fontId="1" fillId="0" borderId="12" xfId="1" applyNumberFormat="1" applyFont="1" applyBorder="1" applyAlignment="1">
      <alignment horizontal="right" vertical="center" wrapText="1" indent="1"/>
    </xf>
    <xf numFmtId="3" fontId="14" fillId="5" borderId="13" xfId="1" applyNumberFormat="1" applyFont="1" applyFill="1" applyBorder="1" applyAlignment="1">
      <alignment horizontal="right" vertical="center" wrapText="1" indent="1"/>
    </xf>
    <xf numFmtId="3" fontId="4" fillId="0" borderId="5" xfId="1" applyNumberFormat="1" applyFont="1" applyBorder="1" applyAlignment="1">
      <alignment horizontal="right" vertical="center" wrapText="1" indent="1"/>
    </xf>
    <xf numFmtId="3" fontId="18" fillId="0" borderId="5" xfId="1" applyNumberFormat="1" applyFont="1" applyBorder="1" applyAlignment="1">
      <alignment horizontal="right" vertical="center" wrapText="1" indent="1"/>
    </xf>
    <xf numFmtId="3" fontId="13" fillId="3" borderId="5" xfId="1" applyNumberFormat="1" applyFont="1" applyFill="1" applyBorder="1" applyAlignment="1">
      <alignment horizontal="right" vertical="center" wrapText="1" indent="1"/>
    </xf>
    <xf numFmtId="3" fontId="4" fillId="3" borderId="5" xfId="1" applyNumberFormat="1" applyFont="1" applyFill="1" applyBorder="1" applyAlignment="1">
      <alignment horizontal="right" vertical="center" wrapText="1" indent="1"/>
    </xf>
    <xf numFmtId="3" fontId="6" fillId="4" borderId="5" xfId="1" applyNumberFormat="1" applyFont="1" applyFill="1" applyBorder="1" applyAlignment="1">
      <alignment horizontal="right" vertical="center" wrapText="1" indent="1"/>
    </xf>
    <xf numFmtId="3" fontId="4" fillId="0" borderId="5" xfId="1" applyNumberFormat="1" applyFont="1" applyFill="1" applyBorder="1" applyAlignment="1">
      <alignment horizontal="right" vertical="center" wrapText="1" indent="1"/>
    </xf>
    <xf numFmtId="3" fontId="12" fillId="4" borderId="5" xfId="1" applyNumberFormat="1" applyFont="1" applyFill="1" applyBorder="1" applyAlignment="1">
      <alignment horizontal="right" vertical="center" wrapText="1" indent="1"/>
    </xf>
    <xf numFmtId="3" fontId="6" fillId="5" borderId="6" xfId="1" applyNumberFormat="1" applyFont="1" applyFill="1" applyBorder="1" applyAlignment="1">
      <alignment horizontal="right" vertical="center" wrapText="1" indent="1"/>
    </xf>
    <xf numFmtId="3" fontId="119" fillId="0" borderId="5" xfId="1" applyNumberFormat="1" applyFont="1" applyBorder="1" applyAlignment="1">
      <alignment horizontal="right" vertical="center" wrapText="1" indent="1"/>
    </xf>
    <xf numFmtId="3" fontId="119" fillId="6" borderId="5" xfId="1" applyNumberFormat="1" applyFont="1" applyFill="1" applyBorder="1" applyAlignment="1">
      <alignment horizontal="right" vertical="center" wrapText="1" indent="1"/>
    </xf>
    <xf numFmtId="3" fontId="20" fillId="5" borderId="6" xfId="1" applyNumberFormat="1" applyFont="1" applyFill="1" applyBorder="1" applyAlignment="1">
      <alignment horizontal="right" vertical="center" wrapText="1" indent="1"/>
    </xf>
    <xf numFmtId="3" fontId="14" fillId="5" borderId="6" xfId="1" applyNumberFormat="1" applyFont="1" applyFill="1" applyBorder="1" applyAlignment="1">
      <alignment horizontal="right" vertical="center" wrapText="1" indent="1"/>
    </xf>
    <xf numFmtId="1" fontId="140" fillId="0" borderId="0" xfId="0" applyNumberFormat="1" applyFont="1" applyBorder="1" applyAlignment="1" applyProtection="1">
      <alignment horizontal="left"/>
      <protection hidden="1"/>
    </xf>
    <xf numFmtId="0" fontId="141" fillId="0" borderId="0" xfId="2" applyFont="1" applyBorder="1" applyAlignment="1" applyProtection="1">
      <alignment horizontal="left" vertical="center"/>
      <protection hidden="1"/>
    </xf>
    <xf numFmtId="0" fontId="141" fillId="0" borderId="0" xfId="2" quotePrefix="1" applyFont="1" applyBorder="1" applyAlignment="1" applyProtection="1">
      <alignment horizontal="left"/>
      <protection hidden="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7" fillId="0" borderId="64" xfId="0" applyFont="1" applyBorder="1" applyAlignment="1">
      <alignment vertical="center" wrapText="1"/>
    </xf>
    <xf numFmtId="3" fontId="7" fillId="0" borderId="64" xfId="0" applyNumberFormat="1" applyFont="1" applyBorder="1" applyAlignment="1">
      <alignment horizontal="right" vertical="center" wrapText="1" indent="1"/>
    </xf>
    <xf numFmtId="3" fontId="1" fillId="0" borderId="45" xfId="4" applyNumberFormat="1" applyFont="1" applyBorder="1" applyAlignment="1">
      <alignment horizontal="right" vertical="center" wrapText="1" indent="1"/>
    </xf>
    <xf numFmtId="0" fontId="7" fillId="0" borderId="23" xfId="0" applyFont="1" applyBorder="1" applyAlignment="1">
      <alignment vertical="center" wrapText="1"/>
    </xf>
    <xf numFmtId="3" fontId="37" fillId="0" borderId="19" xfId="0" applyNumberFormat="1" applyFont="1" applyBorder="1" applyAlignment="1">
      <alignment horizontal="right" vertical="center" wrapText="1" indent="1"/>
    </xf>
    <xf numFmtId="0" fontId="14" fillId="2" borderId="47" xfId="0" applyFont="1" applyFill="1" applyBorder="1" applyAlignment="1">
      <alignment horizontal="center" vertical="center" wrapText="1"/>
    </xf>
    <xf numFmtId="0" fontId="37" fillId="0" borderId="44" xfId="4" applyNumberFormat="1" applyFont="1" applyBorder="1" applyAlignment="1">
      <alignment horizontal="right" vertical="center" wrapText="1"/>
    </xf>
    <xf numFmtId="0" fontId="7" fillId="0" borderId="23" xfId="0" applyFont="1" applyBorder="1" applyAlignment="1">
      <alignment vertical="center" wrapText="1"/>
    </xf>
    <xf numFmtId="0" fontId="55" fillId="0" borderId="53" xfId="0" applyFont="1" applyBorder="1"/>
    <xf numFmtId="0" fontId="60" fillId="0" borderId="0" xfId="0" applyFont="1" applyAlignment="1">
      <alignment vertical="center"/>
    </xf>
    <xf numFmtId="0" fontId="62" fillId="0" borderId="0" xfId="0" applyFont="1" applyAlignment="1">
      <alignment vertical="center"/>
    </xf>
    <xf numFmtId="3" fontId="7" fillId="0" borderId="44" xfId="1" applyNumberFormat="1" applyFont="1" applyBorder="1" applyAlignment="1">
      <alignment horizontal="right" vertical="center" wrapText="1"/>
    </xf>
    <xf numFmtId="0" fontId="141" fillId="19" borderId="148" xfId="0" applyFont="1" applyFill="1" applyBorder="1" applyAlignment="1" applyProtection="1">
      <alignment horizontal="center" vertical="center"/>
      <protection hidden="1"/>
    </xf>
    <xf numFmtId="0" fontId="141" fillId="19" borderId="51" xfId="0" applyFont="1" applyFill="1" applyBorder="1" applyAlignment="1" applyProtection="1">
      <alignment horizontal="center" vertical="center"/>
      <protection hidden="1"/>
    </xf>
    <xf numFmtId="0" fontId="141" fillId="19" borderId="77" xfId="0" applyFont="1" applyFill="1" applyBorder="1" applyAlignment="1" applyProtection="1">
      <alignment horizontal="center" vertical="center"/>
      <protection hidden="1"/>
    </xf>
    <xf numFmtId="0" fontId="141" fillId="19" borderId="147" xfId="0" applyFont="1" applyFill="1" applyBorder="1" applyAlignment="1" applyProtection="1">
      <alignment horizontal="center" vertical="center"/>
      <protection hidden="1"/>
    </xf>
    <xf numFmtId="0" fontId="141" fillId="19" borderId="53" xfId="0" applyFont="1" applyFill="1" applyBorder="1" applyAlignment="1" applyProtection="1">
      <alignment horizontal="center" vertical="center"/>
      <protection hidden="1"/>
    </xf>
    <xf numFmtId="0" fontId="141" fillId="19" borderId="76" xfId="0" applyFont="1" applyFill="1" applyBorder="1" applyAlignment="1" applyProtection="1">
      <alignment horizontal="center" vertical="center"/>
      <protection hidden="1"/>
    </xf>
    <xf numFmtId="0" fontId="149" fillId="0" borderId="163" xfId="0" applyFont="1" applyBorder="1" applyAlignment="1" applyProtection="1">
      <alignment horizontal="left"/>
      <protection hidden="1"/>
    </xf>
    <xf numFmtId="0" fontId="149" fillId="0" borderId="0" xfId="0" applyFont="1" applyBorder="1" applyAlignment="1" applyProtection="1">
      <alignment horizontal="left"/>
      <protection hidden="1"/>
    </xf>
    <xf numFmtId="0" fontId="149" fillId="0" borderId="148" xfId="0" applyFont="1" applyBorder="1" applyAlignment="1" applyProtection="1">
      <alignment horizontal="left"/>
      <protection hidden="1"/>
    </xf>
    <xf numFmtId="0" fontId="149" fillId="0" borderId="51" xfId="0" applyFont="1" applyBorder="1" applyAlignment="1" applyProtection="1">
      <alignment horizontal="left"/>
      <protection hidden="1"/>
    </xf>
    <xf numFmtId="0" fontId="141" fillId="0" borderId="120" xfId="0" applyFont="1" applyBorder="1" applyAlignment="1" applyProtection="1">
      <alignment horizontal="left"/>
      <protection hidden="1"/>
    </xf>
    <xf numFmtId="0" fontId="141" fillId="0" borderId="50" xfId="0" applyFont="1" applyBorder="1" applyAlignment="1" applyProtection="1">
      <alignment horizontal="left"/>
      <protection hidden="1"/>
    </xf>
    <xf numFmtId="0" fontId="141" fillId="0" borderId="74" xfId="0" applyFont="1" applyBorder="1" applyAlignment="1" applyProtection="1">
      <alignment horizontal="left"/>
      <protection hidden="1"/>
    </xf>
    <xf numFmtId="0" fontId="149" fillId="19" borderId="120" xfId="0" applyNumberFormat="1" applyFont="1" applyFill="1" applyBorder="1" applyAlignment="1" applyProtection="1">
      <alignment horizontal="left"/>
      <protection hidden="1"/>
    </xf>
    <xf numFmtId="0" fontId="149" fillId="19" borderId="50" xfId="0" applyNumberFormat="1" applyFont="1" applyFill="1" applyBorder="1" applyAlignment="1" applyProtection="1">
      <alignment horizontal="left"/>
      <protection hidden="1"/>
    </xf>
    <xf numFmtId="0" fontId="149" fillId="19" borderId="120" xfId="0" applyFont="1" applyFill="1" applyBorder="1" applyAlignment="1" applyProtection="1">
      <alignment horizontal="left"/>
      <protection hidden="1"/>
    </xf>
    <xf numFmtId="0" fontId="149" fillId="19" borderId="50" xfId="0" applyFont="1" applyFill="1" applyBorder="1" applyAlignment="1" applyProtection="1">
      <alignment horizontal="left"/>
      <protection hidden="1"/>
    </xf>
    <xf numFmtId="0" fontId="141" fillId="19" borderId="120" xfId="0" applyFont="1" applyFill="1" applyBorder="1" applyAlignment="1" applyProtection="1">
      <alignment horizontal="left"/>
      <protection hidden="1"/>
    </xf>
    <xf numFmtId="0" fontId="141" fillId="19" borderId="50" xfId="0" applyFont="1" applyFill="1" applyBorder="1" applyAlignment="1" applyProtection="1">
      <alignment horizontal="left"/>
      <protection hidden="1"/>
    </xf>
    <xf numFmtId="0" fontId="141" fillId="19" borderId="74" xfId="0" applyFont="1" applyFill="1" applyBorder="1" applyAlignment="1" applyProtection="1">
      <alignment horizontal="left"/>
      <protection hidden="1"/>
    </xf>
    <xf numFmtId="0" fontId="140" fillId="19" borderId="0" xfId="0" quotePrefix="1" applyFont="1" applyFill="1" applyBorder="1" applyAlignment="1" applyProtection="1">
      <alignment horizontal="center"/>
      <protection hidden="1"/>
    </xf>
    <xf numFmtId="0" fontId="139" fillId="0" borderId="66" xfId="0" applyFont="1" applyBorder="1" applyAlignment="1" applyProtection="1">
      <alignment horizontal="left"/>
      <protection hidden="1"/>
    </xf>
    <xf numFmtId="0" fontId="139" fillId="0" borderId="0" xfId="0" applyFont="1" applyBorder="1" applyAlignment="1" applyProtection="1">
      <alignment horizontal="left"/>
      <protection hidden="1"/>
    </xf>
    <xf numFmtId="0" fontId="139" fillId="0" borderId="69" xfId="0" applyFont="1" applyBorder="1" applyAlignment="1" applyProtection="1">
      <alignment horizontal="left"/>
      <protection hidden="1"/>
    </xf>
    <xf numFmtId="0" fontId="140" fillId="0" borderId="0" xfId="0" applyFont="1" applyBorder="1" applyAlignment="1" applyProtection="1">
      <alignment horizontal="center" vertical="center"/>
      <protection hidden="1"/>
    </xf>
    <xf numFmtId="0" fontId="140" fillId="19" borderId="0" xfId="0" applyFont="1" applyFill="1" applyBorder="1" applyAlignment="1" applyProtection="1">
      <alignment horizontal="center" vertical="center"/>
      <protection hidden="1"/>
    </xf>
    <xf numFmtId="0" fontId="140" fillId="19" borderId="0" xfId="0" applyFont="1" applyFill="1" applyBorder="1" applyAlignment="1" applyProtection="1">
      <alignment horizontal="center"/>
      <protection hidden="1"/>
    </xf>
    <xf numFmtId="0" fontId="140" fillId="19" borderId="69" xfId="0" applyFont="1" applyFill="1" applyBorder="1" applyAlignment="1" applyProtection="1">
      <alignment horizontal="center"/>
      <protection hidden="1"/>
    </xf>
    <xf numFmtId="49" fontId="2" fillId="0" borderId="0" xfId="0" applyNumberFormat="1" applyFont="1" applyBorder="1" applyAlignment="1" applyProtection="1">
      <alignment horizontal="left" vertical="center" indent="2"/>
      <protection hidden="1"/>
    </xf>
    <xf numFmtId="0" fontId="140" fillId="0" borderId="53" xfId="0" applyFont="1" applyBorder="1" applyAlignment="1" applyProtection="1">
      <alignment horizontal="left"/>
      <protection hidden="1"/>
    </xf>
    <xf numFmtId="0" fontId="157" fillId="0" borderId="0" xfId="0" applyFont="1" applyBorder="1" applyAlignment="1" applyProtection="1">
      <alignment horizontal="center"/>
      <protection hidden="1"/>
    </xf>
    <xf numFmtId="0" fontId="140" fillId="0" borderId="76" xfId="0" applyFont="1" applyBorder="1" applyAlignment="1" applyProtection="1">
      <alignment horizontal="left"/>
      <protection hidden="1"/>
    </xf>
    <xf numFmtId="0" fontId="139" fillId="0" borderId="53" xfId="0" applyFont="1" applyBorder="1" applyAlignment="1" applyProtection="1">
      <alignment horizontal="left"/>
      <protection hidden="1"/>
    </xf>
    <xf numFmtId="0" fontId="139" fillId="0" borderId="76" xfId="0" applyFont="1" applyBorder="1" applyAlignment="1" applyProtection="1">
      <alignment horizontal="left"/>
      <protection hidden="1"/>
    </xf>
    <xf numFmtId="0" fontId="2" fillId="0" borderId="53" xfId="0" applyFont="1" applyBorder="1" applyAlignment="1" applyProtection="1">
      <alignment horizontal="center"/>
      <protection hidden="1"/>
    </xf>
    <xf numFmtId="0" fontId="2" fillId="0" borderId="76" xfId="0" applyFont="1" applyBorder="1" applyAlignment="1" applyProtection="1">
      <alignment horizontal="center"/>
      <protection hidden="1"/>
    </xf>
    <xf numFmtId="0" fontId="140" fillId="0" borderId="0" xfId="0" applyFont="1" applyFill="1" applyBorder="1" applyAlignment="1" applyProtection="1">
      <alignment vertical="center"/>
      <protection locked="0"/>
    </xf>
    <xf numFmtId="0" fontId="2" fillId="0" borderId="0" xfId="0" applyFont="1" applyFill="1" applyBorder="1" applyAlignment="1"/>
    <xf numFmtId="0" fontId="2" fillId="0" borderId="69" xfId="0" applyFont="1" applyFill="1" applyBorder="1" applyAlignment="1"/>
    <xf numFmtId="14" fontId="140" fillId="19" borderId="0" xfId="0" quotePrefix="1" applyNumberFormat="1" applyFont="1" applyFill="1" applyBorder="1" applyAlignment="1" applyProtection="1">
      <alignment horizontal="left" vertical="center"/>
    </xf>
    <xf numFmtId="14" fontId="140" fillId="19" borderId="0" xfId="0" applyNumberFormat="1" applyFont="1" applyFill="1" applyBorder="1" applyAlignment="1" applyProtection="1">
      <alignment horizontal="left" vertical="center"/>
    </xf>
    <xf numFmtId="0" fontId="0" fillId="0" borderId="0" xfId="0" applyAlignment="1">
      <alignment horizontal="left" vertical="center"/>
    </xf>
    <xf numFmtId="0" fontId="144" fillId="0" borderId="147" xfId="2" applyFont="1" applyBorder="1" applyAlignment="1" applyProtection="1">
      <alignment horizontal="center"/>
      <protection hidden="1"/>
    </xf>
    <xf numFmtId="0" fontId="144" fillId="0" borderId="53" xfId="2" applyFont="1" applyBorder="1" applyAlignment="1" applyProtection="1">
      <alignment horizontal="center"/>
      <protection hidden="1"/>
    </xf>
    <xf numFmtId="0" fontId="144" fillId="0" borderId="43" xfId="2" applyFont="1" applyBorder="1" applyAlignment="1" applyProtection="1">
      <alignment horizontal="center"/>
      <protection hidden="1"/>
    </xf>
    <xf numFmtId="0" fontId="141" fillId="0" borderId="51" xfId="2" applyFont="1" applyBorder="1" applyAlignment="1" applyProtection="1">
      <alignment horizontal="center"/>
      <protection hidden="1"/>
    </xf>
    <xf numFmtId="0" fontId="141" fillId="0" borderId="163" xfId="2" applyFont="1" applyBorder="1" applyAlignment="1" applyProtection="1">
      <alignment horizontal="left"/>
      <protection hidden="1"/>
    </xf>
    <xf numFmtId="0" fontId="141" fillId="0" borderId="0" xfId="2" applyFont="1" applyBorder="1" applyAlignment="1" applyProtection="1">
      <alignment horizontal="left"/>
      <protection hidden="1"/>
    </xf>
    <xf numFmtId="0" fontId="141" fillId="0" borderId="165" xfId="2" applyFont="1" applyBorder="1" applyAlignment="1" applyProtection="1">
      <alignment horizontal="left"/>
      <protection hidden="1"/>
    </xf>
    <xf numFmtId="0" fontId="139" fillId="0" borderId="163" xfId="2" applyFont="1" applyBorder="1" applyAlignment="1" applyProtection="1">
      <alignment horizontal="left"/>
      <protection hidden="1"/>
    </xf>
    <xf numFmtId="0" fontId="139" fillId="0" borderId="0" xfId="2" applyFont="1" applyBorder="1" applyAlignment="1" applyProtection="1">
      <alignment horizontal="left"/>
      <protection hidden="1"/>
    </xf>
    <xf numFmtId="0" fontId="139" fillId="0" borderId="165" xfId="2" applyFont="1" applyBorder="1" applyAlignment="1" applyProtection="1">
      <alignment horizontal="left"/>
      <protection hidden="1"/>
    </xf>
    <xf numFmtId="0" fontId="141" fillId="0" borderId="147" xfId="2" applyFont="1" applyBorder="1" applyAlignment="1" applyProtection="1">
      <alignment horizontal="left"/>
      <protection hidden="1"/>
    </xf>
    <xf numFmtId="0" fontId="141" fillId="0" borderId="53" xfId="2" applyFont="1" applyBorder="1" applyAlignment="1" applyProtection="1">
      <alignment horizontal="left"/>
      <protection hidden="1"/>
    </xf>
    <xf numFmtId="0" fontId="141" fillId="0" borderId="76" xfId="2" applyFont="1" applyBorder="1" applyAlignment="1" applyProtection="1">
      <alignment horizontal="left"/>
      <protection hidden="1"/>
    </xf>
    <xf numFmtId="0" fontId="141" fillId="0" borderId="51" xfId="2" applyFont="1" applyFill="1" applyBorder="1" applyAlignment="1" applyProtection="1">
      <alignment horizontal="center"/>
      <protection hidden="1"/>
    </xf>
    <xf numFmtId="0" fontId="141" fillId="0" borderId="0" xfId="2" applyFont="1" applyFill="1" applyBorder="1" applyAlignment="1" applyProtection="1">
      <alignment horizontal="center"/>
      <protection hidden="1"/>
    </xf>
    <xf numFmtId="0" fontId="143" fillId="0" borderId="51" xfId="2" applyFill="1" applyBorder="1" applyAlignment="1" applyProtection="1">
      <alignment horizontal="center"/>
      <protection hidden="1"/>
    </xf>
    <xf numFmtId="0" fontId="141" fillId="0" borderId="51" xfId="2" applyFont="1" applyBorder="1" applyAlignment="1" applyProtection="1">
      <alignment horizontal="center" vertical="center" wrapText="1"/>
      <protection hidden="1"/>
    </xf>
    <xf numFmtId="0" fontId="141" fillId="0" borderId="77" xfId="2" applyFont="1" applyBorder="1" applyAlignment="1" applyProtection="1">
      <alignment horizontal="center" vertical="center" wrapText="1"/>
      <protection hidden="1"/>
    </xf>
    <xf numFmtId="0" fontId="144" fillId="0" borderId="50" xfId="2" applyFont="1" applyBorder="1" applyAlignment="1" applyProtection="1">
      <alignment horizontal="center"/>
      <protection hidden="1"/>
    </xf>
    <xf numFmtId="0" fontId="144" fillId="0" borderId="33" xfId="2" applyFont="1" applyBorder="1" applyAlignment="1" applyProtection="1">
      <alignment horizontal="center"/>
      <protection hidden="1"/>
    </xf>
    <xf numFmtId="0" fontId="144" fillId="0" borderId="120" xfId="2" applyFont="1" applyBorder="1" applyAlignment="1" applyProtection="1">
      <alignment horizontal="center"/>
      <protection hidden="1"/>
    </xf>
    <xf numFmtId="0" fontId="143" fillId="0" borderId="77" xfId="2" applyFill="1" applyBorder="1" applyAlignment="1" applyProtection="1">
      <alignment horizontal="center"/>
      <protection hidden="1"/>
    </xf>
    <xf numFmtId="0" fontId="141" fillId="0" borderId="147" xfId="2" applyFont="1" applyBorder="1" applyAlignment="1" applyProtection="1">
      <alignment horizontal="center"/>
      <protection hidden="1"/>
    </xf>
    <xf numFmtId="0" fontId="141" fillId="0" borderId="53" xfId="2" applyFont="1" applyBorder="1" applyAlignment="1" applyProtection="1">
      <alignment horizontal="center"/>
      <protection hidden="1"/>
    </xf>
    <xf numFmtId="0" fontId="141" fillId="0" borderId="43" xfId="2" applyFont="1" applyBorder="1" applyAlignment="1" applyProtection="1">
      <alignment horizontal="center"/>
      <protection hidden="1"/>
    </xf>
    <xf numFmtId="49" fontId="141" fillId="0" borderId="147" xfId="2" applyNumberFormat="1" applyFont="1" applyBorder="1" applyAlignment="1" applyProtection="1">
      <alignment horizontal="center"/>
      <protection hidden="1"/>
    </xf>
    <xf numFmtId="49" fontId="141" fillId="0" borderId="53" xfId="2" applyNumberFormat="1" applyFont="1" applyBorder="1" applyAlignment="1" applyProtection="1">
      <alignment horizontal="center"/>
      <protection hidden="1"/>
    </xf>
    <xf numFmtId="49" fontId="141" fillId="0" borderId="43" xfId="2" applyNumberFormat="1" applyFont="1" applyBorder="1" applyAlignment="1" applyProtection="1">
      <alignment horizontal="center"/>
      <protection hidden="1"/>
    </xf>
    <xf numFmtId="0" fontId="139" fillId="0" borderId="53" xfId="2" applyFont="1" applyBorder="1" applyAlignment="1" applyProtection="1">
      <alignment horizontal="center"/>
      <protection hidden="1"/>
    </xf>
    <xf numFmtId="0" fontId="139" fillId="0" borderId="76" xfId="2" applyFont="1" applyBorder="1" applyAlignment="1" applyProtection="1">
      <alignment horizontal="center"/>
      <protection hidden="1"/>
    </xf>
    <xf numFmtId="3" fontId="144" fillId="0" borderId="147" xfId="2" applyNumberFormat="1" applyFont="1" applyBorder="1" applyAlignment="1" applyProtection="1">
      <alignment horizontal="center"/>
      <protection hidden="1"/>
    </xf>
    <xf numFmtId="0" fontId="146" fillId="0" borderId="147" xfId="2" applyFont="1" applyFill="1" applyBorder="1" applyAlignment="1" applyProtection="1">
      <alignment horizontal="center"/>
      <protection hidden="1"/>
    </xf>
    <xf numFmtId="0" fontId="146" fillId="0" borderId="53" xfId="2" applyFont="1" applyFill="1" applyBorder="1" applyAlignment="1" applyProtection="1">
      <alignment horizontal="center"/>
      <protection hidden="1"/>
    </xf>
    <xf numFmtId="0" fontId="146" fillId="0" borderId="76" xfId="2" applyFont="1" applyFill="1" applyBorder="1" applyAlignment="1" applyProtection="1">
      <alignment horizontal="center"/>
      <protection hidden="1"/>
    </xf>
    <xf numFmtId="0" fontId="146" fillId="0" borderId="0" xfId="2" applyFont="1" applyBorder="1" applyAlignment="1" applyProtection="1">
      <alignment horizontal="left"/>
      <protection hidden="1"/>
    </xf>
    <xf numFmtId="0" fontId="146" fillId="0" borderId="69" xfId="2" applyFont="1" applyBorder="1" applyAlignment="1" applyProtection="1">
      <alignment horizontal="left"/>
      <protection hidden="1"/>
    </xf>
    <xf numFmtId="0" fontId="144" fillId="0" borderId="0" xfId="2" applyFont="1" applyFill="1" applyBorder="1" applyAlignment="1" applyProtection="1">
      <alignment horizontal="center"/>
      <protection hidden="1"/>
    </xf>
    <xf numFmtId="0" fontId="144" fillId="0" borderId="53" xfId="2" applyFont="1" applyFill="1" applyBorder="1" applyAlignment="1" applyProtection="1">
      <alignment horizontal="center"/>
      <protection hidden="1"/>
    </xf>
    <xf numFmtId="3" fontId="146" fillId="0" borderId="67" xfId="2" applyNumberFormat="1" applyFont="1" applyBorder="1" applyAlignment="1" applyProtection="1">
      <alignment horizontal="left"/>
      <protection hidden="1"/>
    </xf>
    <xf numFmtId="0" fontId="146" fillId="0" borderId="67" xfId="2" applyNumberFormat="1" applyFont="1" applyBorder="1" applyAlignment="1" applyProtection="1">
      <alignment horizontal="left"/>
      <protection hidden="1"/>
    </xf>
    <xf numFmtId="0" fontId="146" fillId="0" borderId="68" xfId="2" applyNumberFormat="1" applyFont="1" applyBorder="1" applyAlignment="1" applyProtection="1">
      <alignment horizontal="left"/>
      <protection hidden="1"/>
    </xf>
    <xf numFmtId="3" fontId="146" fillId="0" borderId="66" xfId="2" applyNumberFormat="1" applyFont="1" applyBorder="1" applyAlignment="1" applyProtection="1">
      <alignment horizontal="left"/>
      <protection hidden="1"/>
    </xf>
    <xf numFmtId="0" fontId="141" fillId="0" borderId="0" xfId="2" applyFont="1" applyBorder="1" applyAlignment="1" applyProtection="1">
      <alignment horizontal="center"/>
      <protection hidden="1"/>
    </xf>
    <xf numFmtId="0" fontId="146" fillId="0" borderId="0" xfId="0" applyFont="1" applyBorder="1" applyAlignment="1" applyProtection="1">
      <alignment horizontal="left"/>
      <protection hidden="1"/>
    </xf>
    <xf numFmtId="0" fontId="146" fillId="0" borderId="69" xfId="0" applyFont="1" applyBorder="1" applyAlignment="1" applyProtection="1">
      <alignment horizontal="left"/>
      <protection hidden="1"/>
    </xf>
    <xf numFmtId="1" fontId="140" fillId="0" borderId="0" xfId="2" applyNumberFormat="1" applyFont="1" applyBorder="1" applyAlignment="1" applyProtection="1">
      <alignment horizontal="left"/>
      <protection hidden="1"/>
    </xf>
    <xf numFmtId="0" fontId="143" fillId="0" borderId="147" xfId="2" applyFont="1" applyBorder="1" applyAlignment="1" applyProtection="1">
      <alignment horizontal="center"/>
      <protection hidden="1"/>
    </xf>
    <xf numFmtId="0" fontId="143" fillId="0" borderId="53" xfId="2" applyFont="1" applyBorder="1" applyAlignment="1" applyProtection="1">
      <alignment horizontal="center"/>
      <protection hidden="1"/>
    </xf>
    <xf numFmtId="0" fontId="143" fillId="0" borderId="43" xfId="2" applyFont="1" applyBorder="1" applyAlignment="1" applyProtection="1">
      <alignment horizontal="center"/>
      <protection hidden="1"/>
    </xf>
    <xf numFmtId="49" fontId="141" fillId="0" borderId="147" xfId="2" applyNumberFormat="1" applyFont="1" applyFill="1" applyBorder="1" applyAlignment="1" applyProtection="1">
      <alignment horizontal="center"/>
      <protection locked="0"/>
    </xf>
    <xf numFmtId="49" fontId="141" fillId="0" borderId="53" xfId="2" applyNumberFormat="1" applyFont="1" applyFill="1" applyBorder="1" applyAlignment="1" applyProtection="1">
      <alignment horizontal="center"/>
      <protection locked="0"/>
    </xf>
    <xf numFmtId="49" fontId="141" fillId="0" borderId="43" xfId="2" applyNumberFormat="1" applyFont="1" applyFill="1" applyBorder="1" applyAlignment="1" applyProtection="1">
      <alignment horizontal="center"/>
      <protection locked="0"/>
    </xf>
    <xf numFmtId="0" fontId="141" fillId="0" borderId="66" xfId="2" applyFont="1" applyBorder="1" applyAlignment="1" applyProtection="1">
      <alignment horizontal="left"/>
      <protection hidden="1"/>
    </xf>
    <xf numFmtId="0" fontId="140" fillId="20" borderId="148" xfId="2" applyFont="1" applyFill="1" applyBorder="1" applyAlignment="1" applyProtection="1">
      <alignment horizontal="center"/>
      <protection hidden="1"/>
    </xf>
    <xf numFmtId="0" fontId="140" fillId="20" borderId="51" xfId="2" applyFont="1" applyFill="1" applyBorder="1" applyAlignment="1" applyProtection="1">
      <alignment horizontal="center"/>
      <protection hidden="1"/>
    </xf>
    <xf numFmtId="0" fontId="140" fillId="20" borderId="39" xfId="2" applyFont="1" applyFill="1" applyBorder="1" applyAlignment="1" applyProtection="1">
      <alignment horizontal="center"/>
      <protection hidden="1"/>
    </xf>
    <xf numFmtId="0" fontId="140" fillId="20" borderId="163" xfId="2" applyFont="1" applyFill="1" applyBorder="1" applyAlignment="1" applyProtection="1">
      <alignment horizontal="center"/>
      <protection hidden="1"/>
    </xf>
    <xf numFmtId="0" fontId="140" fillId="20" borderId="0" xfId="2" applyFont="1" applyFill="1" applyBorder="1" applyAlignment="1" applyProtection="1">
      <alignment horizontal="center"/>
      <protection hidden="1"/>
    </xf>
    <xf numFmtId="0" fontId="140" fillId="20" borderId="165" xfId="2" applyFont="1" applyFill="1" applyBorder="1" applyAlignment="1" applyProtection="1">
      <alignment horizontal="center"/>
      <protection hidden="1"/>
    </xf>
    <xf numFmtId="0" fontId="140" fillId="0" borderId="148" xfId="2" applyFont="1" applyFill="1" applyBorder="1" applyAlignment="1" applyProtection="1">
      <protection locked="0"/>
    </xf>
    <xf numFmtId="0" fontId="0" fillId="0" borderId="51" xfId="0" applyFill="1" applyBorder="1" applyAlignment="1" applyProtection="1">
      <protection locked="0"/>
    </xf>
    <xf numFmtId="0" fontId="0" fillId="0" borderId="39" xfId="0" applyFill="1" applyBorder="1" applyAlignment="1" applyProtection="1">
      <protection locked="0"/>
    </xf>
    <xf numFmtId="0" fontId="140" fillId="0" borderId="51" xfId="2" applyFont="1" applyBorder="1" applyAlignment="1" applyProtection="1">
      <alignment horizontal="right" vertical="center"/>
      <protection hidden="1"/>
    </xf>
    <xf numFmtId="0" fontId="140" fillId="0" borderId="39" xfId="2" applyFont="1" applyBorder="1" applyAlignment="1" applyProtection="1">
      <alignment horizontal="right" vertical="center"/>
      <protection hidden="1"/>
    </xf>
    <xf numFmtId="0" fontId="140" fillId="0" borderId="53" xfId="2" applyFont="1" applyBorder="1" applyAlignment="1" applyProtection="1">
      <alignment horizontal="right" vertical="center"/>
      <protection hidden="1"/>
    </xf>
    <xf numFmtId="0" fontId="140" fillId="0" borderId="43" xfId="2" applyFont="1" applyBorder="1" applyAlignment="1" applyProtection="1">
      <alignment horizontal="right" vertical="center"/>
      <protection hidden="1"/>
    </xf>
    <xf numFmtId="3" fontId="146" fillId="19" borderId="148" xfId="2" applyNumberFormat="1" applyFont="1" applyFill="1" applyBorder="1" applyAlignment="1" applyProtection="1">
      <alignment horizontal="right" vertical="center"/>
      <protection hidden="1"/>
    </xf>
    <xf numFmtId="0" fontId="0" fillId="0" borderId="51" xfId="0" applyBorder="1" applyAlignment="1"/>
    <xf numFmtId="0" fontId="0" fillId="0" borderId="39" xfId="0" applyBorder="1" applyAlignment="1"/>
    <xf numFmtId="0" fontId="0" fillId="0" borderId="147" xfId="0" applyBorder="1" applyAlignment="1"/>
    <xf numFmtId="0" fontId="0" fillId="0" borderId="53" xfId="0" applyBorder="1" applyAlignment="1"/>
    <xf numFmtId="0" fontId="0" fillId="0" borderId="43" xfId="0" applyBorder="1" applyAlignment="1"/>
    <xf numFmtId="1" fontId="146" fillId="0" borderId="148" xfId="2" applyNumberFormat="1" applyFont="1" applyBorder="1" applyAlignment="1" applyProtection="1">
      <alignment horizontal="center" vertical="center"/>
      <protection hidden="1"/>
    </xf>
    <xf numFmtId="1" fontId="0" fillId="0" borderId="51" xfId="0" applyNumberFormat="1" applyBorder="1" applyAlignment="1">
      <alignment horizontal="center" vertical="center"/>
    </xf>
    <xf numFmtId="1" fontId="0" fillId="0" borderId="39" xfId="0" applyNumberFormat="1" applyBorder="1" applyAlignment="1">
      <alignment horizontal="center" vertical="center"/>
    </xf>
    <xf numFmtId="1" fontId="0" fillId="0" borderId="147" xfId="0" applyNumberFormat="1" applyBorder="1" applyAlignment="1">
      <alignment horizontal="center" vertical="center"/>
    </xf>
    <xf numFmtId="1" fontId="0" fillId="0" borderId="53" xfId="0" applyNumberFormat="1" applyBorder="1" applyAlignment="1">
      <alignment horizontal="center" vertical="center"/>
    </xf>
    <xf numFmtId="1" fontId="0" fillId="0" borderId="43" xfId="0" applyNumberFormat="1" applyBorder="1" applyAlignment="1">
      <alignment horizontal="center" vertical="center"/>
    </xf>
    <xf numFmtId="0" fontId="149" fillId="0" borderId="163" xfId="2" applyFont="1" applyFill="1" applyBorder="1" applyAlignment="1" applyProtection="1">
      <alignment horizontal="center"/>
      <protection locked="0"/>
    </xf>
    <xf numFmtId="0" fontId="0" fillId="0" borderId="0" xfId="0" applyFill="1" applyBorder="1" applyAlignment="1"/>
    <xf numFmtId="0" fontId="0" fillId="0" borderId="165" xfId="0" applyFill="1" applyBorder="1" applyAlignment="1"/>
    <xf numFmtId="0" fontId="140" fillId="0" borderId="163" xfId="2" applyFont="1" applyFill="1" applyBorder="1" applyAlignment="1" applyProtection="1">
      <protection locked="0"/>
    </xf>
    <xf numFmtId="0" fontId="0" fillId="0" borderId="0" xfId="0" applyFill="1" applyBorder="1" applyAlignment="1" applyProtection="1">
      <protection locked="0"/>
    </xf>
    <xf numFmtId="0" fontId="0" fillId="0" borderId="165" xfId="0" applyFill="1" applyBorder="1" applyAlignment="1" applyProtection="1">
      <protection locked="0"/>
    </xf>
    <xf numFmtId="0" fontId="154" fillId="0" borderId="163" xfId="2" applyFont="1" applyFill="1" applyBorder="1" applyAlignment="1" applyProtection="1">
      <alignment horizontal="center"/>
      <protection locked="0"/>
    </xf>
    <xf numFmtId="0" fontId="156" fillId="0" borderId="0" xfId="0" applyFont="1" applyFill="1" applyBorder="1" applyAlignment="1"/>
    <xf numFmtId="0" fontId="156" fillId="0" borderId="165" xfId="0" applyFont="1" applyFill="1" applyBorder="1" applyAlignment="1"/>
    <xf numFmtId="3" fontId="140" fillId="0" borderId="163" xfId="2" applyNumberFormat="1" applyFont="1" applyFill="1" applyBorder="1" applyAlignment="1" applyProtection="1">
      <protection locked="0"/>
    </xf>
    <xf numFmtId="3" fontId="0" fillId="0" borderId="0" xfId="0" applyNumberFormat="1" applyFill="1" applyBorder="1" applyAlignment="1" applyProtection="1">
      <protection locked="0"/>
    </xf>
    <xf numFmtId="3" fontId="0" fillId="0" borderId="165" xfId="0" applyNumberFormat="1" applyFill="1" applyBorder="1" applyAlignment="1" applyProtection="1">
      <protection locked="0"/>
    </xf>
    <xf numFmtId="9" fontId="140" fillId="0" borderId="163" xfId="2" applyNumberFormat="1" applyFont="1" applyFill="1" applyBorder="1" applyAlignment="1" applyProtection="1">
      <alignment horizontal="center"/>
      <protection locked="0"/>
    </xf>
    <xf numFmtId="9" fontId="0" fillId="0" borderId="0" xfId="0" applyNumberFormat="1" applyFill="1" applyBorder="1" applyAlignment="1" applyProtection="1">
      <alignment horizontal="center"/>
      <protection locked="0"/>
    </xf>
    <xf numFmtId="9" fontId="0" fillId="0" borderId="165" xfId="0" applyNumberFormat="1" applyFill="1" applyBorder="1" applyAlignment="1" applyProtection="1">
      <alignment horizontal="center"/>
      <protection locked="0"/>
    </xf>
    <xf numFmtId="0" fontId="143" fillId="0" borderId="163" xfId="2" applyFont="1" applyBorder="1" applyAlignment="1" applyProtection="1">
      <alignment horizontal="center" vertical="center"/>
      <protection hidden="1"/>
    </xf>
    <xf numFmtId="0" fontId="143" fillId="0" borderId="0" xfId="2" applyFont="1" applyBorder="1" applyAlignment="1" applyProtection="1">
      <alignment horizontal="center" vertical="center"/>
      <protection hidden="1"/>
    </xf>
    <xf numFmtId="0" fontId="143" fillId="0" borderId="165" xfId="2" applyFont="1" applyBorder="1" applyAlignment="1" applyProtection="1">
      <alignment horizontal="center" vertical="center"/>
      <protection hidden="1"/>
    </xf>
    <xf numFmtId="0" fontId="143" fillId="0" borderId="163" xfId="2" applyFont="1" applyBorder="1" applyAlignment="1" applyProtection="1">
      <alignment horizontal="center"/>
      <protection hidden="1"/>
    </xf>
    <xf numFmtId="0" fontId="143" fillId="0" borderId="0" xfId="2" applyFont="1" applyBorder="1" applyAlignment="1" applyProtection="1">
      <alignment horizontal="center"/>
      <protection hidden="1"/>
    </xf>
    <xf numFmtId="0" fontId="143" fillId="0" borderId="165" xfId="2" applyFont="1" applyBorder="1" applyAlignment="1" applyProtection="1">
      <alignment horizontal="center"/>
      <protection hidden="1"/>
    </xf>
    <xf numFmtId="0" fontId="149" fillId="0" borderId="147" xfId="2" applyFont="1" applyBorder="1" applyAlignment="1" applyProtection="1">
      <alignment horizontal="center"/>
      <protection hidden="1"/>
    </xf>
    <xf numFmtId="0" fontId="149" fillId="0" borderId="53" xfId="2" applyFont="1" applyBorder="1" applyAlignment="1" applyProtection="1">
      <alignment horizontal="center"/>
      <protection hidden="1"/>
    </xf>
    <xf numFmtId="0" fontId="149" fillId="0" borderId="43" xfId="2" applyFont="1" applyBorder="1" applyAlignment="1" applyProtection="1">
      <alignment horizontal="center"/>
      <protection hidden="1"/>
    </xf>
    <xf numFmtId="0" fontId="143" fillId="0" borderId="148" xfId="2" applyFont="1" applyBorder="1" applyAlignment="1" applyProtection="1">
      <alignment horizontal="center" vertical="center"/>
      <protection hidden="1"/>
    </xf>
    <xf numFmtId="0" fontId="143" fillId="0" borderId="51" xfId="2" applyFont="1" applyBorder="1" applyAlignment="1" applyProtection="1">
      <alignment horizontal="center" vertical="center"/>
      <protection hidden="1"/>
    </xf>
    <xf numFmtId="0" fontId="143" fillId="0" borderId="39" xfId="2" applyFont="1" applyBorder="1" applyAlignment="1" applyProtection="1">
      <alignment horizontal="center" vertical="center"/>
      <protection hidden="1"/>
    </xf>
    <xf numFmtId="0" fontId="143" fillId="0" borderId="148" xfId="2" applyFont="1" applyBorder="1" applyAlignment="1" applyProtection="1">
      <alignment horizontal="center"/>
      <protection hidden="1"/>
    </xf>
    <xf numFmtId="0" fontId="143" fillId="0" borderId="51" xfId="2" applyFont="1" applyBorder="1" applyAlignment="1" applyProtection="1">
      <alignment horizontal="center"/>
      <protection hidden="1"/>
    </xf>
    <xf numFmtId="0" fontId="143" fillId="0" borderId="39" xfId="2" applyFont="1" applyBorder="1" applyAlignment="1" applyProtection="1">
      <alignment horizontal="center"/>
      <protection hidden="1"/>
    </xf>
    <xf numFmtId="49" fontId="140" fillId="0" borderId="148" xfId="2" applyNumberFormat="1" applyFont="1" applyBorder="1" applyAlignment="1" applyProtection="1">
      <alignment horizontal="center"/>
      <protection hidden="1"/>
    </xf>
    <xf numFmtId="49" fontId="140" fillId="0" borderId="51" xfId="2" applyNumberFormat="1" applyFont="1" applyBorder="1" applyAlignment="1" applyProtection="1">
      <alignment horizontal="center"/>
      <protection hidden="1"/>
    </xf>
    <xf numFmtId="49" fontId="140" fillId="0" borderId="39" xfId="2" applyNumberFormat="1" applyFont="1" applyBorder="1" applyAlignment="1" applyProtection="1">
      <alignment horizontal="center"/>
      <protection hidden="1"/>
    </xf>
    <xf numFmtId="0" fontId="139" fillId="0" borderId="0" xfId="2" applyFont="1" applyBorder="1" applyAlignment="1" applyProtection="1">
      <alignment horizontal="center"/>
      <protection hidden="1"/>
    </xf>
    <xf numFmtId="0" fontId="139" fillId="0" borderId="165" xfId="2" applyFont="1" applyBorder="1" applyAlignment="1" applyProtection="1">
      <alignment horizontal="center"/>
      <protection hidden="1"/>
    </xf>
    <xf numFmtId="0" fontId="143" fillId="0" borderId="120" xfId="2" applyBorder="1" applyAlignment="1" applyProtection="1">
      <alignment horizontal="center"/>
      <protection hidden="1"/>
    </xf>
    <xf numFmtId="0" fontId="143" fillId="0" borderId="50" xfId="2" applyBorder="1" applyAlignment="1" applyProtection="1">
      <alignment horizontal="center"/>
      <protection hidden="1"/>
    </xf>
    <xf numFmtId="0" fontId="143" fillId="0" borderId="33" xfId="2" applyBorder="1" applyAlignment="1" applyProtection="1">
      <alignment horizontal="center"/>
      <protection hidden="1"/>
    </xf>
    <xf numFmtId="0" fontId="140" fillId="0" borderId="163" xfId="2" applyFont="1" applyBorder="1" applyAlignment="1" applyProtection="1">
      <alignment horizontal="center"/>
      <protection hidden="1"/>
    </xf>
    <xf numFmtId="0" fontId="140" fillId="0" borderId="0" xfId="2" applyFont="1" applyBorder="1" applyAlignment="1" applyProtection="1">
      <alignment horizontal="center"/>
      <protection hidden="1"/>
    </xf>
    <xf numFmtId="0" fontId="140" fillId="0" borderId="165" xfId="2" applyFont="1" applyBorder="1" applyAlignment="1" applyProtection="1">
      <alignment horizontal="center"/>
      <protection hidden="1"/>
    </xf>
    <xf numFmtId="1" fontId="146" fillId="0" borderId="0" xfId="2" applyNumberFormat="1" applyFont="1" applyBorder="1" applyAlignment="1" applyProtection="1">
      <alignment horizontal="left"/>
      <protection hidden="1"/>
    </xf>
    <xf numFmtId="49" fontId="144" fillId="0" borderId="0" xfId="2" applyNumberFormat="1" applyFont="1" applyBorder="1" applyAlignment="1" applyProtection="1">
      <alignment horizontal="left"/>
      <protection hidden="1"/>
    </xf>
    <xf numFmtId="0" fontId="143" fillId="0" borderId="0" xfId="2" applyFont="1" applyBorder="1" applyAlignment="1" applyProtection="1">
      <alignment horizontal="left"/>
      <protection hidden="1"/>
    </xf>
    <xf numFmtId="0" fontId="143" fillId="0" borderId="0" xfId="2" applyFont="1" applyAlignment="1" applyProtection="1">
      <alignment horizontal="left"/>
      <protection hidden="1"/>
    </xf>
    <xf numFmtId="0" fontId="2" fillId="0" borderId="23" xfId="0" applyFont="1" applyBorder="1" applyAlignment="1">
      <alignment horizontal="left"/>
    </xf>
    <xf numFmtId="0" fontId="140" fillId="19" borderId="0" xfId="0" applyFont="1" applyFill="1" applyAlignment="1" applyProtection="1">
      <alignment horizontal="center"/>
      <protection hidden="1"/>
    </xf>
    <xf numFmtId="0" fontId="2" fillId="0" borderId="120" xfId="0" applyFont="1" applyBorder="1" applyAlignment="1">
      <alignment horizontal="left" vertical="center"/>
    </xf>
    <xf numFmtId="0" fontId="2" fillId="0" borderId="33" xfId="0" applyFont="1" applyBorder="1" applyAlignment="1">
      <alignment horizontal="left" vertical="center"/>
    </xf>
    <xf numFmtId="0" fontId="2" fillId="0" borderId="23" xfId="0" applyFont="1" applyBorder="1" applyAlignment="1">
      <alignment horizontal="left" vertical="center"/>
    </xf>
    <xf numFmtId="0" fontId="120" fillId="21" borderId="120" xfId="0" applyFont="1" applyFill="1" applyBorder="1" applyAlignment="1">
      <alignment horizontal="left" vertical="center" wrapText="1"/>
    </xf>
    <xf numFmtId="0" fontId="120" fillId="21" borderId="33" xfId="0" applyFont="1" applyFill="1" applyBorder="1" applyAlignment="1">
      <alignment horizontal="left" vertical="center" wrapText="1"/>
    </xf>
    <xf numFmtId="0" fontId="4" fillId="0" borderId="0" xfId="0" applyFont="1" applyAlignment="1">
      <alignment horizontal="left" vertical="center"/>
    </xf>
    <xf numFmtId="0" fontId="19"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2" fillId="0" borderId="0" xfId="0" applyFont="1" applyAlignment="1">
      <alignment horizontal="left"/>
    </xf>
    <xf numFmtId="3" fontId="7" fillId="0" borderId="5" xfId="1" applyNumberFormat="1" applyFont="1" applyBorder="1" applyAlignment="1">
      <alignment horizontal="right" vertical="center" wrapText="1" inden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inden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0" borderId="3" xfId="0" applyFont="1" applyBorder="1" applyAlignment="1">
      <alignment horizontal="center" vertical="center"/>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4" xfId="0" applyFont="1" applyFill="1" applyBorder="1" applyAlignment="1">
      <alignment horizontal="center" vertical="center" wrapText="1"/>
    </xf>
    <xf numFmtId="3" fontId="20" fillId="2" borderId="1" xfId="0" applyNumberFormat="1" applyFont="1" applyFill="1" applyBorder="1" applyAlignment="1">
      <alignment horizontal="right" vertical="center" wrapText="1"/>
    </xf>
    <xf numFmtId="3" fontId="20" fillId="2" borderId="14" xfId="0" applyNumberFormat="1" applyFont="1" applyFill="1" applyBorder="1" applyAlignment="1">
      <alignment horizontal="right" vertical="center" wrapText="1"/>
    </xf>
    <xf numFmtId="0" fontId="16" fillId="0" borderId="3" xfId="0" applyFont="1" applyBorder="1" applyAlignment="1">
      <alignment horizontal="center" vertical="center"/>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1" fillId="2" borderId="5" xfId="0" applyFont="1" applyFill="1" applyBorder="1" applyAlignment="1">
      <alignment horizontal="center" vertical="center" wrapText="1"/>
    </xf>
    <xf numFmtId="3" fontId="155" fillId="5" borderId="149" xfId="1" applyNumberFormat="1" applyFont="1" applyFill="1" applyBorder="1" applyAlignment="1">
      <alignment horizontal="right" vertical="center" wrapText="1" indent="1"/>
    </xf>
    <xf numFmtId="3" fontId="155" fillId="5" borderId="14" xfId="1" applyNumberFormat="1" applyFont="1" applyFill="1" applyBorder="1" applyAlignment="1">
      <alignment horizontal="right" vertical="center" wrapText="1" indent="1"/>
    </xf>
    <xf numFmtId="0" fontId="14" fillId="2" borderId="138"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69" xfId="0" applyFont="1" applyFill="1" applyBorder="1" applyAlignment="1">
      <alignment horizontal="center" vertical="center" wrapText="1"/>
    </xf>
    <xf numFmtId="0" fontId="14" fillId="2" borderId="170" xfId="0" applyFont="1" applyFill="1" applyBorder="1" applyAlignment="1">
      <alignment horizontal="center" vertical="center" wrapText="1"/>
    </xf>
    <xf numFmtId="0" fontId="14" fillId="2" borderId="171" xfId="0" applyFont="1" applyFill="1" applyBorder="1" applyAlignment="1">
      <alignment horizontal="center" vertical="center" wrapText="1"/>
    </xf>
    <xf numFmtId="0" fontId="1" fillId="7" borderId="10"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1" fillId="7" borderId="12" xfId="0" applyFont="1" applyFill="1" applyBorder="1" applyAlignment="1">
      <alignment horizontal="left" vertical="center" wrapText="1"/>
    </xf>
    <xf numFmtId="0" fontId="14" fillId="4" borderId="10" xfId="0" applyFont="1" applyFill="1" applyBorder="1" applyAlignment="1">
      <alignment horizontal="left" vertical="center" wrapText="1"/>
    </xf>
    <xf numFmtId="0" fontId="14" fillId="4" borderId="11" xfId="0" applyFont="1" applyFill="1" applyBorder="1" applyAlignment="1">
      <alignment horizontal="left" vertical="center" wrapText="1"/>
    </xf>
    <xf numFmtId="0" fontId="14" fillId="4" borderId="12"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6" borderId="10" xfId="0" applyFont="1" applyFill="1" applyBorder="1" applyAlignment="1">
      <alignment horizontal="left" vertical="center" wrapText="1"/>
    </xf>
    <xf numFmtId="0" fontId="1" fillId="6" borderId="11"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4" fillId="5" borderId="10" xfId="0" applyFont="1" applyFill="1" applyBorder="1" applyAlignment="1">
      <alignment horizontal="left" vertical="center" wrapText="1"/>
    </xf>
    <xf numFmtId="0" fontId="14" fillId="5" borderId="11" xfId="0" applyFont="1" applyFill="1" applyBorder="1" applyAlignment="1">
      <alignment horizontal="left" vertical="center" wrapText="1"/>
    </xf>
    <xf numFmtId="0" fontId="14" fillId="5" borderId="12" xfId="0" applyFont="1" applyFill="1" applyBorder="1" applyAlignment="1">
      <alignment horizontal="left" vertical="center" wrapText="1"/>
    </xf>
    <xf numFmtId="0" fontId="9" fillId="5" borderId="172" xfId="0" applyFont="1" applyFill="1" applyBorder="1" applyAlignment="1">
      <alignment horizontal="left" vertical="center" wrapText="1"/>
    </xf>
    <xf numFmtId="0" fontId="9" fillId="5" borderId="173" xfId="0" applyFont="1" applyFill="1" applyBorder="1" applyAlignment="1">
      <alignment horizontal="left" vertical="center" wrapText="1"/>
    </xf>
    <xf numFmtId="0" fontId="9" fillId="5" borderId="13" xfId="0" applyFont="1" applyFill="1" applyBorder="1" applyAlignment="1">
      <alignment horizontal="left" vertical="center" wrapText="1"/>
    </xf>
    <xf numFmtId="0" fontId="14" fillId="5" borderId="169" xfId="0" applyFont="1" applyFill="1" applyBorder="1" applyAlignment="1">
      <alignment horizontal="left" vertical="center" wrapText="1"/>
    </xf>
    <xf numFmtId="0" fontId="14" fillId="5" borderId="170" xfId="0" applyFont="1" applyFill="1" applyBorder="1" applyAlignment="1">
      <alignment horizontal="left" vertical="center" wrapText="1"/>
    </xf>
    <xf numFmtId="0" fontId="14" fillId="5" borderId="171" xfId="0" applyFont="1" applyFill="1" applyBorder="1" applyAlignment="1">
      <alignment horizontal="left" vertical="center" wrapText="1"/>
    </xf>
    <xf numFmtId="0" fontId="26" fillId="0" borderId="2" xfId="0" applyFont="1" applyBorder="1" applyAlignment="1">
      <alignment horizontal="left" vertical="center" wrapText="1"/>
    </xf>
    <xf numFmtId="0" fontId="26" fillId="0" borderId="0" xfId="0" applyFont="1" applyAlignment="1">
      <alignment horizontal="left" vertical="center" wrapText="1"/>
    </xf>
    <xf numFmtId="0" fontId="29" fillId="0" borderId="3"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4" fillId="5" borderId="5" xfId="0" applyFont="1" applyFill="1" applyBorder="1" applyAlignment="1">
      <alignment horizontal="center" vertical="center" wrapText="1"/>
    </xf>
    <xf numFmtId="0" fontId="14" fillId="5" borderId="6" xfId="0" applyFont="1" applyFill="1" applyBorder="1" applyAlignment="1">
      <alignment horizontal="center" vertical="center" wrapText="1"/>
    </xf>
    <xf numFmtId="3" fontId="14" fillId="5" borderId="5" xfId="1" applyNumberFormat="1" applyFont="1" applyFill="1" applyBorder="1" applyAlignment="1">
      <alignment horizontal="right" vertical="center" wrapText="1" indent="1"/>
    </xf>
    <xf numFmtId="3" fontId="14" fillId="5" borderId="6" xfId="1" applyNumberFormat="1" applyFont="1" applyFill="1" applyBorder="1" applyAlignment="1">
      <alignment horizontal="right" vertical="center" wrapText="1" indent="1"/>
    </xf>
    <xf numFmtId="0" fontId="27" fillId="2" borderId="4"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14" fillId="5" borderId="166" xfId="0" applyFont="1" applyFill="1" applyBorder="1" applyAlignment="1">
      <alignment horizontal="left" vertical="center" wrapText="1"/>
    </xf>
    <xf numFmtId="0" fontId="14" fillId="5" borderId="167" xfId="0" applyFont="1" applyFill="1" applyBorder="1" applyAlignment="1">
      <alignment horizontal="left" vertical="center" wrapText="1"/>
    </xf>
    <xf numFmtId="0" fontId="14" fillId="5" borderId="168"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35" xfId="0" applyFont="1" applyFill="1" applyBorder="1" applyAlignment="1">
      <alignment vertical="center" wrapText="1"/>
    </xf>
    <xf numFmtId="0" fontId="14" fillId="2" borderId="37" xfId="0" applyFont="1" applyFill="1" applyBorder="1" applyAlignment="1">
      <alignment vertical="center" wrapText="1"/>
    </xf>
    <xf numFmtId="0" fontId="7" fillId="0" borderId="55" xfId="0" applyFont="1" applyBorder="1" applyAlignment="1">
      <alignment vertical="center" wrapText="1"/>
    </xf>
    <xf numFmtId="0" fontId="7" fillId="0" borderId="50" xfId="0" applyFont="1" applyBorder="1" applyAlignment="1">
      <alignment vertical="center" wrapText="1"/>
    </xf>
    <xf numFmtId="0" fontId="7" fillId="0" borderId="74" xfId="0" applyFont="1" applyBorder="1" applyAlignment="1">
      <alignment vertical="center" wrapText="1"/>
    </xf>
    <xf numFmtId="0" fontId="7" fillId="0" borderId="59" xfId="0" applyFont="1" applyBorder="1" applyAlignment="1">
      <alignment vertical="center" wrapText="1"/>
    </xf>
    <xf numFmtId="0" fontId="7" fillId="0" borderId="73" xfId="0" applyFont="1" applyBorder="1" applyAlignment="1">
      <alignment vertical="center" wrapText="1"/>
    </xf>
    <xf numFmtId="0" fontId="7" fillId="0" borderId="75" xfId="0" applyFont="1" applyBorder="1" applyAlignment="1">
      <alignment vertical="center" wrapText="1"/>
    </xf>
    <xf numFmtId="0" fontId="14" fillId="5" borderId="62" xfId="0" applyFont="1" applyFill="1" applyBorder="1" applyAlignment="1">
      <alignment vertical="center" wrapText="1"/>
    </xf>
    <xf numFmtId="0" fontId="14" fillId="5" borderId="47" xfId="0" applyFont="1" applyFill="1" applyBorder="1" applyAlignment="1">
      <alignment vertical="center" wrapText="1"/>
    </xf>
    <xf numFmtId="0" fontId="14" fillId="5" borderId="48" xfId="0" applyFont="1" applyFill="1" applyBorder="1" applyAlignment="1">
      <alignment vertical="center" wrapText="1"/>
    </xf>
    <xf numFmtId="0" fontId="29" fillId="0" borderId="71" xfId="0" applyFont="1" applyBorder="1" applyAlignment="1">
      <alignment horizontal="center" vertical="center"/>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54" xfId="0" applyFont="1" applyFill="1" applyBorder="1" applyAlignment="1">
      <alignment horizontal="center" vertical="center" wrapText="1"/>
    </xf>
    <xf numFmtId="0" fontId="14" fillId="2" borderId="55" xfId="0" applyFont="1" applyFill="1" applyBorder="1" applyAlignment="1">
      <alignment horizontal="center" vertical="center" wrapText="1"/>
    </xf>
    <xf numFmtId="0" fontId="14" fillId="2" borderId="56" xfId="0" applyFont="1" applyFill="1" applyBorder="1" applyAlignment="1">
      <alignment horizontal="center" vertical="center" wrapText="1"/>
    </xf>
    <xf numFmtId="0" fontId="14" fillId="2" borderId="36" xfId="0" applyFont="1" applyFill="1" applyBorder="1" applyAlignment="1">
      <alignment vertical="center" wrapText="1"/>
    </xf>
    <xf numFmtId="0" fontId="14" fillId="2" borderId="38" xfId="0" applyFont="1" applyFill="1" applyBorder="1" applyAlignment="1">
      <alignment vertical="center" wrapText="1"/>
    </xf>
    <xf numFmtId="0" fontId="14" fillId="2" borderId="35" xfId="0" applyFont="1" applyFill="1" applyBorder="1" applyAlignment="1">
      <alignment horizontal="center" vertical="center" wrapText="1"/>
    </xf>
    <xf numFmtId="0" fontId="14" fillId="2" borderId="36" xfId="0" applyFont="1" applyFill="1" applyBorder="1" applyAlignment="1">
      <alignment horizontal="center" vertical="center" wrapText="1"/>
    </xf>
    <xf numFmtId="0" fontId="14" fillId="2" borderId="38" xfId="0" applyFont="1" applyFill="1" applyBorder="1" applyAlignment="1">
      <alignment horizontal="center" vertical="center" wrapText="1"/>
    </xf>
    <xf numFmtId="0" fontId="14" fillId="2" borderId="62"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14" fillId="2" borderId="48" xfId="0" applyFont="1" applyFill="1" applyBorder="1" applyAlignment="1">
      <alignment horizontal="center" vertical="center" wrapText="1"/>
    </xf>
    <xf numFmtId="0" fontId="14" fillId="2" borderId="35" xfId="0" applyFont="1" applyFill="1" applyBorder="1" applyAlignment="1">
      <alignment horizontal="justify" vertical="center" wrapText="1"/>
    </xf>
    <xf numFmtId="0" fontId="14" fillId="2" borderId="37" xfId="0" applyFont="1" applyFill="1" applyBorder="1" applyAlignment="1">
      <alignment horizontal="justify" vertical="center" wrapText="1"/>
    </xf>
    <xf numFmtId="0" fontId="51" fillId="4" borderId="66" xfId="0" applyFont="1" applyFill="1" applyBorder="1" applyAlignment="1">
      <alignment horizontal="center" vertical="center" wrapText="1"/>
    </xf>
    <xf numFmtId="0" fontId="51" fillId="4" borderId="0" xfId="0" applyFont="1" applyFill="1" applyBorder="1" applyAlignment="1">
      <alignment horizontal="center" vertical="center" wrapText="1"/>
    </xf>
    <xf numFmtId="0" fontId="51" fillId="4" borderId="69" xfId="0" applyFont="1" applyFill="1" applyBorder="1" applyAlignment="1">
      <alignment horizontal="center" vertical="center" wrapText="1"/>
    </xf>
    <xf numFmtId="0" fontId="64" fillId="0" borderId="178" xfId="0" applyFont="1" applyBorder="1" applyAlignment="1">
      <alignment horizontal="left" vertical="center" wrapText="1"/>
    </xf>
    <xf numFmtId="0" fontId="64" fillId="0" borderId="179" xfId="0" applyFont="1" applyBorder="1" applyAlignment="1">
      <alignment horizontal="left" vertical="center" wrapText="1"/>
    </xf>
    <xf numFmtId="0" fontId="64" fillId="0" borderId="180" xfId="0" applyFont="1" applyBorder="1" applyAlignment="1">
      <alignment horizontal="left" vertical="center" wrapText="1"/>
    </xf>
    <xf numFmtId="0" fontId="64" fillId="0" borderId="174" xfId="0" applyFont="1" applyBorder="1" applyAlignment="1">
      <alignment horizontal="left" vertical="center" wrapText="1"/>
    </xf>
    <xf numFmtId="0" fontId="64" fillId="0" borderId="167" xfId="0" applyFont="1" applyBorder="1" applyAlignment="1">
      <alignment horizontal="left" vertical="center" wrapText="1"/>
    </xf>
    <xf numFmtId="0" fontId="64" fillId="0" borderId="175" xfId="0" applyFont="1" applyBorder="1" applyAlignment="1">
      <alignment horizontal="left" vertical="center" wrapText="1"/>
    </xf>
    <xf numFmtId="0" fontId="64" fillId="0" borderId="176" xfId="0" applyFont="1" applyBorder="1" applyAlignment="1">
      <alignment horizontal="left" vertical="center" wrapText="1"/>
    </xf>
    <xf numFmtId="0" fontId="64" fillId="0" borderId="170" xfId="0" applyFont="1" applyBorder="1" applyAlignment="1">
      <alignment horizontal="left" vertical="center" wrapText="1"/>
    </xf>
    <xf numFmtId="0" fontId="64" fillId="0" borderId="177" xfId="0" applyFont="1" applyBorder="1" applyAlignment="1">
      <alignment horizontal="left" vertical="center" wrapText="1"/>
    </xf>
    <xf numFmtId="0" fontId="60" fillId="0" borderId="0" xfId="0" applyFont="1" applyAlignment="1">
      <alignment horizontal="center" vertical="center"/>
    </xf>
    <xf numFmtId="0" fontId="62" fillId="0" borderId="71" xfId="0" applyFont="1" applyBorder="1" applyAlignment="1">
      <alignment horizontal="center" vertical="center"/>
    </xf>
    <xf numFmtId="0" fontId="51" fillId="4" borderId="65" xfId="0" applyFont="1" applyFill="1" applyBorder="1" applyAlignment="1">
      <alignment horizontal="center" vertical="center" wrapText="1"/>
    </xf>
    <xf numFmtId="0" fontId="51" fillId="4" borderId="67" xfId="0" applyFont="1" applyFill="1" applyBorder="1" applyAlignment="1">
      <alignment horizontal="center" vertical="center" wrapText="1"/>
    </xf>
    <xf numFmtId="0" fontId="51" fillId="4" borderId="68" xfId="0" applyFont="1" applyFill="1" applyBorder="1" applyAlignment="1">
      <alignment horizontal="center" vertical="center" wrapText="1"/>
    </xf>
    <xf numFmtId="0" fontId="7" fillId="0" borderId="0" xfId="0" quotePrefix="1" applyFont="1" applyAlignment="1">
      <alignment horizontal="left" vertical="center" wrapText="1"/>
    </xf>
    <xf numFmtId="0" fontId="14" fillId="2" borderId="64" xfId="0" applyFont="1" applyFill="1" applyBorder="1" applyAlignment="1">
      <alignment horizontal="center" vertical="center" wrapText="1"/>
    </xf>
    <xf numFmtId="0" fontId="14" fillId="2" borderId="60" xfId="0" applyFont="1" applyFill="1" applyBorder="1" applyAlignment="1">
      <alignment horizontal="center" vertical="center" wrapText="1"/>
    </xf>
    <xf numFmtId="0" fontId="40" fillId="0" borderId="0" xfId="0" applyFont="1" applyBorder="1" applyAlignment="1">
      <alignment horizontal="center" vertical="center"/>
    </xf>
    <xf numFmtId="0" fontId="29" fillId="0" borderId="0" xfId="0" applyFont="1" applyBorder="1" applyAlignment="1">
      <alignment horizontal="center" vertical="center"/>
    </xf>
    <xf numFmtId="0" fontId="61" fillId="0" borderId="0" xfId="0" applyFont="1" applyAlignment="1">
      <alignment horizontal="center" vertical="center"/>
    </xf>
    <xf numFmtId="0" fontId="14" fillId="2" borderId="64" xfId="0" applyFont="1" applyFill="1" applyBorder="1" applyAlignment="1">
      <alignment vertical="center" wrapText="1"/>
    </xf>
    <xf numFmtId="0" fontId="14" fillId="2" borderId="60" xfId="0" applyFont="1" applyFill="1" applyBorder="1" applyAlignment="1">
      <alignment vertical="center" wrapText="1"/>
    </xf>
    <xf numFmtId="0" fontId="14" fillId="2" borderId="0" xfId="0" applyFont="1" applyFill="1" applyBorder="1" applyAlignment="1">
      <alignment horizontal="center" vertical="center" wrapText="1"/>
    </xf>
    <xf numFmtId="0" fontId="14" fillId="2" borderId="71" xfId="0" applyFont="1" applyFill="1" applyBorder="1" applyAlignment="1">
      <alignment horizontal="center" vertical="center" wrapText="1"/>
    </xf>
    <xf numFmtId="0" fontId="15" fillId="0" borderId="0" xfId="0" applyFont="1" applyAlignment="1">
      <alignment horizontal="left" vertical="center"/>
    </xf>
    <xf numFmtId="0" fontId="14" fillId="2" borderId="91" xfId="0" applyFont="1" applyFill="1" applyBorder="1" applyAlignment="1">
      <alignment horizontal="center" vertical="center" wrapText="1"/>
    </xf>
    <xf numFmtId="0" fontId="14" fillId="2" borderId="92" xfId="0" applyFont="1" applyFill="1" applyBorder="1" applyAlignment="1">
      <alignment horizontal="center" vertical="center" wrapText="1"/>
    </xf>
    <xf numFmtId="0" fontId="14" fillId="2" borderId="93" xfId="0" applyFont="1" applyFill="1" applyBorder="1" applyAlignment="1">
      <alignment horizontal="center" vertical="center" wrapText="1"/>
    </xf>
    <xf numFmtId="0" fontId="14" fillId="2" borderId="85" xfId="0" applyFont="1" applyFill="1" applyBorder="1" applyAlignment="1">
      <alignment horizontal="center" vertical="center" wrapText="1"/>
    </xf>
    <xf numFmtId="0" fontId="14" fillId="2" borderId="67" xfId="0" applyFont="1" applyFill="1" applyBorder="1" applyAlignment="1">
      <alignment horizontal="center" vertical="center" wrapText="1"/>
    </xf>
    <xf numFmtId="0" fontId="14" fillId="2" borderId="86" xfId="0" applyFont="1" applyFill="1" applyBorder="1" applyAlignment="1">
      <alignment horizontal="center" vertical="center" wrapText="1"/>
    </xf>
    <xf numFmtId="0" fontId="14" fillId="2" borderId="87" xfId="0" applyFont="1" applyFill="1" applyBorder="1" applyAlignment="1">
      <alignment horizontal="center" vertical="center" wrapText="1"/>
    </xf>
    <xf numFmtId="0" fontId="14" fillId="2" borderId="88" xfId="0" applyFont="1" applyFill="1" applyBorder="1" applyAlignment="1">
      <alignment horizontal="center" vertical="center" wrapText="1"/>
    </xf>
    <xf numFmtId="0" fontId="14" fillId="2" borderId="81" xfId="0" applyFont="1" applyFill="1" applyBorder="1" applyAlignment="1">
      <alignment vertical="center" wrapText="1"/>
    </xf>
    <xf numFmtId="0" fontId="14" fillId="2" borderId="82" xfId="0" applyFont="1" applyFill="1" applyBorder="1" applyAlignment="1">
      <alignment vertical="center" wrapText="1"/>
    </xf>
    <xf numFmtId="0" fontId="66" fillId="0" borderId="71" xfId="0" applyFont="1" applyBorder="1" applyAlignment="1">
      <alignment horizontal="center" vertical="center"/>
    </xf>
    <xf numFmtId="0" fontId="7" fillId="0" borderId="0" xfId="0" applyFont="1" applyAlignment="1">
      <alignment horizontal="left" vertical="center"/>
    </xf>
    <xf numFmtId="0" fontId="70" fillId="0" borderId="0" xfId="0" applyFont="1" applyAlignment="1">
      <alignment horizontal="center" vertical="center"/>
    </xf>
    <xf numFmtId="0" fontId="74" fillId="0" borderId="0" xfId="0" applyFont="1" applyAlignment="1">
      <alignment horizontal="center" vertical="center"/>
    </xf>
    <xf numFmtId="0" fontId="14" fillId="10" borderId="68" xfId="0" applyFont="1" applyFill="1" applyBorder="1" applyAlignment="1">
      <alignment horizontal="center" vertical="center" wrapText="1"/>
    </xf>
    <xf numFmtId="0" fontId="14" fillId="10" borderId="69" xfId="0" applyFont="1" applyFill="1" applyBorder="1" applyAlignment="1">
      <alignment horizontal="center" vertical="center" wrapText="1"/>
    </xf>
    <xf numFmtId="0" fontId="14" fillId="10" borderId="63" xfId="0" applyFont="1" applyFill="1" applyBorder="1" applyAlignment="1">
      <alignment horizontal="center" vertical="center" wrapText="1"/>
    </xf>
    <xf numFmtId="0" fontId="14" fillId="10" borderId="64" xfId="0" applyFont="1" applyFill="1" applyBorder="1" applyAlignment="1">
      <alignment horizontal="center" vertical="center" wrapText="1"/>
    </xf>
    <xf numFmtId="0" fontId="50" fillId="0" borderId="0" xfId="0" applyFont="1" applyBorder="1" applyAlignment="1">
      <alignment horizontal="center" vertical="center"/>
    </xf>
    <xf numFmtId="0" fontId="14" fillId="5" borderId="116" xfId="0" applyFont="1" applyFill="1" applyBorder="1" applyAlignment="1">
      <alignment vertical="center" wrapText="1"/>
    </xf>
    <xf numFmtId="0" fontId="14" fillId="5" borderId="117" xfId="0" applyFont="1" applyFill="1" applyBorder="1" applyAlignment="1">
      <alignment vertical="center" wrapText="1"/>
    </xf>
    <xf numFmtId="0" fontId="48" fillId="0" borderId="0" xfId="0" applyFont="1" applyAlignment="1">
      <alignment horizontal="center" vertical="center"/>
    </xf>
    <xf numFmtId="0" fontId="1" fillId="0" borderId="66" xfId="0" applyFont="1" applyBorder="1" applyAlignment="1">
      <alignment vertical="center" wrapText="1"/>
    </xf>
    <xf numFmtId="0" fontId="1" fillId="0" borderId="0" xfId="0" applyFont="1" applyBorder="1" applyAlignment="1">
      <alignment vertical="center" wrapText="1"/>
    </xf>
    <xf numFmtId="0" fontId="1" fillId="0" borderId="69" xfId="0" applyFont="1" applyBorder="1" applyAlignment="1">
      <alignment vertical="center" wrapText="1"/>
    </xf>
    <xf numFmtId="0" fontId="1" fillId="0" borderId="78" xfId="0" applyFont="1" applyBorder="1" applyAlignment="1">
      <alignment vertical="center" wrapText="1"/>
    </xf>
    <xf numFmtId="0" fontId="1" fillId="0" borderId="3" xfId="0" applyFont="1" applyBorder="1" applyAlignment="1">
      <alignment vertical="center" wrapText="1"/>
    </xf>
    <xf numFmtId="0" fontId="1" fillId="0" borderId="79" xfId="0" applyFont="1" applyBorder="1" applyAlignment="1">
      <alignment vertical="center" wrapText="1"/>
    </xf>
    <xf numFmtId="0" fontId="1" fillId="0" borderId="114" xfId="0" applyFont="1" applyBorder="1" applyAlignment="1">
      <alignment vertical="center" wrapText="1"/>
    </xf>
    <xf numFmtId="0" fontId="1" fillId="0" borderId="2" xfId="0" applyFont="1" applyBorder="1" applyAlignment="1">
      <alignment vertical="center" wrapText="1"/>
    </xf>
    <xf numFmtId="0" fontId="1" fillId="0" borderId="115" xfId="0" applyFont="1" applyBorder="1" applyAlignment="1">
      <alignment vertical="center" wrapText="1"/>
    </xf>
    <xf numFmtId="0" fontId="1" fillId="0" borderId="65" xfId="0" applyFont="1" applyBorder="1" applyAlignment="1">
      <alignment vertical="center" wrapText="1"/>
    </xf>
    <xf numFmtId="0" fontId="1" fillId="0" borderId="67" xfId="0" applyFont="1" applyBorder="1" applyAlignment="1">
      <alignment vertical="center" wrapText="1"/>
    </xf>
    <xf numFmtId="0" fontId="1" fillId="0" borderId="68" xfId="0" applyFont="1" applyBorder="1" applyAlignment="1">
      <alignment vertical="center" wrapText="1"/>
    </xf>
    <xf numFmtId="14" fontId="120" fillId="0" borderId="0" xfId="0" applyNumberFormat="1" applyFont="1" applyAlignment="1">
      <alignment horizontal="left"/>
    </xf>
    <xf numFmtId="0" fontId="1" fillId="0" borderId="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21" xfId="0" applyFont="1" applyBorder="1" applyAlignment="1">
      <alignment horizontal="center" vertical="center" wrapText="1"/>
    </xf>
    <xf numFmtId="0" fontId="14" fillId="9" borderId="22" xfId="0" applyFont="1" applyFill="1" applyBorder="1" applyAlignment="1">
      <alignment horizontal="center" vertical="center" wrapText="1"/>
    </xf>
    <xf numFmtId="0" fontId="14" fillId="9" borderId="18"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0" borderId="18" xfId="0" applyFont="1" applyBorder="1" applyAlignment="1">
      <alignment horizontal="center" vertical="center" wrapText="1"/>
    </xf>
    <xf numFmtId="0" fontId="42" fillId="0" borderId="3" xfId="0" applyFont="1" applyBorder="1" applyAlignment="1">
      <alignment horizontal="center" vertical="center"/>
    </xf>
    <xf numFmtId="0" fontId="2" fillId="0" borderId="0" xfId="0" applyFont="1" applyAlignment="1"/>
    <xf numFmtId="0" fontId="0" fillId="0" borderId="0" xfId="0" applyAlignment="1"/>
    <xf numFmtId="0" fontId="10" fillId="0" borderId="0" xfId="0" applyFont="1" applyAlignment="1"/>
    <xf numFmtId="0" fontId="51" fillId="2" borderId="54" xfId="0" applyFont="1" applyFill="1" applyBorder="1" applyAlignment="1">
      <alignment horizontal="center" vertical="center" wrapText="1"/>
    </xf>
    <xf numFmtId="0" fontId="51" fillId="2" borderId="59" xfId="0" applyFont="1" applyFill="1" applyBorder="1" applyAlignment="1">
      <alignment horizontal="center" vertical="center" wrapText="1"/>
    </xf>
    <xf numFmtId="10" fontId="51" fillId="2" borderId="119" xfId="4" applyNumberFormat="1" applyFont="1" applyFill="1" applyBorder="1" applyAlignment="1">
      <alignment horizontal="right" vertical="center" wrapText="1"/>
    </xf>
    <xf numFmtId="10" fontId="51" fillId="2" borderId="75" xfId="4" applyNumberFormat="1" applyFont="1" applyFill="1" applyBorder="1" applyAlignment="1">
      <alignment horizontal="right" vertical="center" wrapText="1"/>
    </xf>
    <xf numFmtId="0" fontId="51" fillId="2" borderId="49" xfId="0" applyFont="1" applyFill="1" applyBorder="1" applyAlignment="1">
      <alignment horizontal="center" vertical="center" wrapText="1"/>
    </xf>
    <xf numFmtId="0" fontId="51" fillId="2" borderId="73" xfId="0" applyFont="1" applyFill="1" applyBorder="1" applyAlignment="1">
      <alignment horizontal="center" vertical="center" wrapText="1"/>
    </xf>
    <xf numFmtId="0" fontId="46" fillId="0" borderId="0" xfId="0" applyFont="1" applyAlignment="1">
      <alignment horizontal="center" vertical="center"/>
    </xf>
    <xf numFmtId="0" fontId="51" fillId="2" borderId="65" xfId="0" applyFont="1" applyFill="1" applyBorder="1" applyAlignment="1">
      <alignment horizontal="center" vertical="center" wrapText="1"/>
    </xf>
    <xf numFmtId="0" fontId="51" fillId="2" borderId="68" xfId="0" applyFont="1" applyFill="1" applyBorder="1" applyAlignment="1">
      <alignment horizontal="center" vertical="center" wrapText="1"/>
    </xf>
    <xf numFmtId="0" fontId="51" fillId="2" borderId="66" xfId="0" applyFont="1" applyFill="1" applyBorder="1" applyAlignment="1">
      <alignment horizontal="center" vertical="center" wrapText="1"/>
    </xf>
    <xf numFmtId="0" fontId="51" fillId="2" borderId="6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10" fontId="14" fillId="2" borderId="26" xfId="4" applyNumberFormat="1" applyFont="1" applyFill="1" applyBorder="1" applyAlignment="1">
      <alignment horizontal="right" vertical="center" wrapText="1"/>
    </xf>
    <xf numFmtId="10" fontId="14" fillId="2" borderId="31" xfId="4" applyNumberFormat="1" applyFont="1" applyFill="1" applyBorder="1" applyAlignment="1">
      <alignment horizontal="right" vertical="center" wrapText="1"/>
    </xf>
    <xf numFmtId="0" fontId="14" fillId="2" borderId="32" xfId="0" applyFont="1" applyFill="1" applyBorder="1" applyAlignment="1">
      <alignment horizontal="center" vertical="center" wrapText="1"/>
    </xf>
    <xf numFmtId="164" fontId="3" fillId="0" borderId="28" xfId="1" applyNumberFormat="1" applyFont="1" applyBorder="1" applyAlignment="1">
      <alignment horizontal="center" vertical="center" wrapText="1"/>
    </xf>
    <xf numFmtId="164" fontId="3" fillId="0" borderId="29" xfId="1" applyNumberFormat="1" applyFont="1" applyBorder="1" applyAlignment="1">
      <alignment horizontal="center" vertical="center" wrapText="1"/>
    </xf>
    <xf numFmtId="164" fontId="3" fillId="0" borderId="30" xfId="1" applyNumberFormat="1" applyFont="1" applyBorder="1" applyAlignment="1">
      <alignment horizontal="center" vertical="center" wrapText="1"/>
    </xf>
    <xf numFmtId="164" fontId="3" fillId="0" borderId="32" xfId="1" applyNumberFormat="1" applyFont="1" applyBorder="1" applyAlignment="1">
      <alignment horizontal="center"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7" fillId="0" borderId="61" xfId="0" applyFont="1" applyBorder="1" applyAlignment="1">
      <alignment horizontal="left" vertical="center" wrapText="1"/>
    </xf>
    <xf numFmtId="0" fontId="7" fillId="0" borderId="41" xfId="0" applyFont="1" applyBorder="1" applyAlignment="1">
      <alignment horizontal="left" vertical="center" wrapText="1"/>
    </xf>
    <xf numFmtId="0" fontId="1" fillId="3" borderId="62" xfId="0" applyFont="1" applyFill="1" applyBorder="1" applyAlignment="1">
      <alignment horizontal="left" vertical="center" wrapText="1"/>
    </xf>
    <xf numFmtId="0" fontId="1" fillId="3" borderId="48" xfId="0" applyFont="1" applyFill="1" applyBorder="1" applyAlignment="1">
      <alignment horizontal="left" vertical="center" wrapText="1"/>
    </xf>
    <xf numFmtId="0" fontId="7" fillId="0" borderId="55" xfId="0" applyFont="1" applyBorder="1" applyAlignment="1">
      <alignment horizontal="left" vertical="center" wrapText="1"/>
    </xf>
    <xf numFmtId="0" fontId="7" fillId="0" borderId="50" xfId="0" applyFont="1" applyBorder="1" applyAlignment="1">
      <alignment horizontal="left" vertical="center" wrapText="1"/>
    </xf>
    <xf numFmtId="0" fontId="62" fillId="0" borderId="0" xfId="0" applyFont="1" applyAlignment="1">
      <alignment horizontal="center" vertical="center"/>
    </xf>
    <xf numFmtId="0" fontId="7" fillId="0" borderId="34" xfId="0" applyFont="1" applyBorder="1" applyAlignment="1">
      <alignment horizontal="left" vertical="center" wrapText="1"/>
    </xf>
    <xf numFmtId="0" fontId="7" fillId="0" borderId="45" xfId="0" applyFont="1" applyBorder="1" applyAlignment="1">
      <alignment horizontal="left" vertical="center" wrapText="1"/>
    </xf>
    <xf numFmtId="0" fontId="1" fillId="3" borderId="57" xfId="0" applyFont="1" applyFill="1" applyBorder="1" applyAlignment="1">
      <alignment horizontal="left" vertical="center" wrapText="1"/>
    </xf>
    <xf numFmtId="0" fontId="1" fillId="3" borderId="52" xfId="0" applyFont="1" applyFill="1" applyBorder="1" applyAlignment="1">
      <alignment horizontal="left" vertical="center" wrapText="1"/>
    </xf>
    <xf numFmtId="0" fontId="14" fillId="2" borderId="49" xfId="0" applyFont="1" applyFill="1" applyBorder="1" applyAlignment="1">
      <alignment horizontal="center" vertical="center" wrapText="1"/>
    </xf>
    <xf numFmtId="0" fontId="7" fillId="0" borderId="0" xfId="0" applyFont="1" applyAlignment="1">
      <alignment horizontal="left" vertical="center" wrapText="1"/>
    </xf>
    <xf numFmtId="0" fontId="7" fillId="0" borderId="66" xfId="0" applyFont="1" applyBorder="1" applyAlignment="1">
      <alignment horizontal="left" vertical="center" wrapText="1"/>
    </xf>
    <xf numFmtId="0" fontId="7" fillId="0" borderId="0" xfId="0" applyFont="1" applyBorder="1" applyAlignment="1">
      <alignment horizontal="left" vertical="center" wrapText="1"/>
    </xf>
    <xf numFmtId="0" fontId="47" fillId="0" borderId="0" xfId="0" applyFont="1" applyAlignment="1">
      <alignment horizontal="center" vertical="center"/>
    </xf>
    <xf numFmtId="0" fontId="14" fillId="2" borderId="119" xfId="0" applyFont="1" applyFill="1" applyBorder="1" applyAlignment="1">
      <alignment horizontal="center" vertical="center" wrapText="1"/>
    </xf>
    <xf numFmtId="0" fontId="14" fillId="2" borderId="74" xfId="0" applyFont="1" applyFill="1" applyBorder="1" applyAlignment="1">
      <alignment horizontal="center" vertical="center" wrapText="1"/>
    </xf>
    <xf numFmtId="0" fontId="14" fillId="2" borderId="75"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22" xfId="0" applyFont="1" applyFill="1" applyBorder="1" applyAlignment="1">
      <alignment horizontal="center" vertical="center" wrapText="1"/>
    </xf>
    <xf numFmtId="0" fontId="14" fillId="2" borderId="98" xfId="0" applyFont="1" applyFill="1" applyBorder="1" applyAlignment="1">
      <alignment horizontal="center" vertical="center" wrapText="1"/>
    </xf>
    <xf numFmtId="0" fontId="14" fillId="2" borderId="110" xfId="0" applyFont="1" applyFill="1" applyBorder="1" applyAlignment="1">
      <alignment horizontal="center" vertical="center" wrapText="1"/>
    </xf>
    <xf numFmtId="0" fontId="14" fillId="2" borderId="121" xfId="0" applyFont="1" applyFill="1" applyBorder="1" applyAlignment="1">
      <alignment horizontal="center" vertical="center" wrapText="1"/>
    </xf>
    <xf numFmtId="0" fontId="14" fillId="2" borderId="120" xfId="0" applyFont="1" applyFill="1" applyBorder="1" applyAlignment="1">
      <alignment horizontal="center" vertical="center" wrapText="1"/>
    </xf>
    <xf numFmtId="0" fontId="14" fillId="2" borderId="123" xfId="0" applyFont="1" applyFill="1" applyBorder="1" applyAlignment="1">
      <alignment horizontal="center" vertical="center" wrapText="1"/>
    </xf>
    <xf numFmtId="0" fontId="76" fillId="0" borderId="0" xfId="0" applyFont="1" applyAlignment="1">
      <alignment horizontal="center" vertical="center"/>
    </xf>
    <xf numFmtId="0" fontId="27" fillId="0" borderId="3" xfId="0" applyFont="1" applyBorder="1" applyAlignment="1">
      <alignment horizontal="center" vertical="center"/>
    </xf>
    <xf numFmtId="0" fontId="14" fillId="2" borderId="15"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4" fillId="2" borderId="21" xfId="0" applyFont="1" applyFill="1" applyBorder="1" applyAlignment="1">
      <alignment horizontal="left" vertical="center" wrapText="1"/>
    </xf>
    <xf numFmtId="0" fontId="49" fillId="0" borderId="0" xfId="0" applyFont="1" applyAlignment="1">
      <alignment horizontal="center" vertical="center"/>
    </xf>
    <xf numFmtId="0" fontId="50" fillId="0" borderId="3" xfId="0" applyFont="1" applyBorder="1" applyAlignment="1">
      <alignment horizontal="center" vertical="center"/>
    </xf>
    <xf numFmtId="0" fontId="7" fillId="0" borderId="0" xfId="0" applyFont="1" applyAlignment="1">
      <alignment horizontal="center" vertical="center" wrapText="1"/>
    </xf>
    <xf numFmtId="0" fontId="27" fillId="2" borderId="1" xfId="0" applyFont="1" applyFill="1" applyBorder="1" applyAlignment="1">
      <alignment horizontal="center" vertical="center" wrapText="1"/>
    </xf>
    <xf numFmtId="0" fontId="27" fillId="2" borderId="21" xfId="0" applyFont="1" applyFill="1" applyBorder="1" applyAlignment="1">
      <alignment horizontal="center" vertical="center" wrapText="1"/>
    </xf>
    <xf numFmtId="0" fontId="83" fillId="0" borderId="0" xfId="0" applyFont="1" applyAlignment="1">
      <alignment horizontal="left" vertical="center" wrapText="1"/>
    </xf>
    <xf numFmtId="0" fontId="50" fillId="0" borderId="71" xfId="0" applyFont="1" applyBorder="1" applyAlignment="1">
      <alignment horizontal="center" vertical="center"/>
    </xf>
    <xf numFmtId="0" fontId="27" fillId="2" borderId="25" xfId="0" applyFont="1" applyFill="1" applyBorder="1" applyAlignment="1">
      <alignment horizontal="center" vertical="center" wrapText="1"/>
    </xf>
    <xf numFmtId="0" fontId="27" fillId="2" borderId="30" xfId="0" applyFont="1" applyFill="1" applyBorder="1" applyAlignment="1">
      <alignment horizontal="center" vertical="center" wrapText="1"/>
    </xf>
    <xf numFmtId="0" fontId="7" fillId="0" borderId="76" xfId="0" applyFont="1" applyBorder="1" applyAlignment="1">
      <alignment vertical="center" wrapText="1"/>
    </xf>
    <xf numFmtId="0" fontId="7" fillId="0" borderId="42" xfId="0" applyFont="1" applyBorder="1" applyAlignment="1">
      <alignment vertical="center" wrapText="1"/>
    </xf>
    <xf numFmtId="0" fontId="7" fillId="0" borderId="36" xfId="0" applyFont="1" applyBorder="1" applyAlignment="1">
      <alignment vertical="center" wrapText="1"/>
    </xf>
    <xf numFmtId="0" fontId="27" fillId="0" borderId="0" xfId="0" applyFont="1" applyBorder="1" applyAlignment="1">
      <alignment horizontal="center" vertical="center"/>
    </xf>
    <xf numFmtId="0" fontId="27" fillId="0" borderId="0" xfId="0" applyFont="1" applyAlignment="1">
      <alignment horizontal="center" vertical="center"/>
    </xf>
    <xf numFmtId="0" fontId="14" fillId="2" borderId="59" xfId="0" applyFont="1" applyFill="1" applyBorder="1" applyAlignment="1">
      <alignment horizontal="center" vertical="center" wrapText="1"/>
    </xf>
    <xf numFmtId="0" fontId="14" fillId="2" borderId="37" xfId="0" applyFont="1" applyFill="1" applyBorder="1" applyAlignment="1">
      <alignment horizontal="center" vertical="center" wrapText="1"/>
    </xf>
    <xf numFmtId="0" fontId="34" fillId="0" borderId="62" xfId="0" applyFont="1" applyBorder="1" applyAlignment="1">
      <alignment horizontal="right" vertical="center" wrapText="1"/>
    </xf>
    <xf numFmtId="0" fontId="34" fillId="0" borderId="47" xfId="0" applyFont="1" applyBorder="1" applyAlignment="1">
      <alignment horizontal="right" vertical="center" wrapText="1"/>
    </xf>
    <xf numFmtId="0" fontId="69" fillId="0" borderId="0" xfId="0" applyFont="1" applyAlignment="1">
      <alignment horizontal="center" vertical="center"/>
    </xf>
    <xf numFmtId="0" fontId="84" fillId="0" borderId="0" xfId="0" applyFont="1" applyBorder="1" applyAlignment="1">
      <alignment horizontal="center" vertical="center" wrapText="1"/>
    </xf>
    <xf numFmtId="0" fontId="34" fillId="0" borderId="0" xfId="0" applyFont="1" applyAlignment="1">
      <alignment horizontal="center" vertical="center" wrapText="1"/>
    </xf>
    <xf numFmtId="0" fontId="34" fillId="0" borderId="69" xfId="0" applyFont="1" applyBorder="1" applyAlignment="1">
      <alignment horizontal="center" vertical="center" wrapText="1"/>
    </xf>
    <xf numFmtId="0" fontId="34" fillId="0" borderId="0" xfId="0" applyFont="1" applyBorder="1" applyAlignment="1">
      <alignment horizontal="center" vertical="center" wrapText="1"/>
    </xf>
    <xf numFmtId="0" fontId="19" fillId="0" borderId="63" xfId="0" applyFont="1" applyBorder="1" applyAlignment="1">
      <alignment vertical="center" wrapText="1"/>
    </xf>
    <xf numFmtId="0" fontId="19" fillId="0" borderId="64" xfId="0" applyFont="1" applyBorder="1" applyAlignment="1">
      <alignment vertical="center" wrapText="1"/>
    </xf>
    <xf numFmtId="0" fontId="14" fillId="12" borderId="65" xfId="0" applyFont="1" applyFill="1" applyBorder="1" applyAlignment="1">
      <alignment horizontal="center" vertical="center" wrapText="1"/>
    </xf>
    <xf numFmtId="0" fontId="14" fillId="12" borderId="66" xfId="0" applyFont="1" applyFill="1" applyBorder="1" applyAlignment="1">
      <alignment horizontal="center" vertical="center" wrapText="1"/>
    </xf>
    <xf numFmtId="0" fontId="14" fillId="12" borderId="70" xfId="0" applyFont="1" applyFill="1" applyBorder="1" applyAlignment="1">
      <alignment horizontal="center" vertical="center" wrapText="1"/>
    </xf>
    <xf numFmtId="0" fontId="14" fillId="12" borderId="122" xfId="0" applyFont="1" applyFill="1" applyBorder="1" applyAlignment="1">
      <alignment horizontal="center" vertical="center" wrapText="1"/>
    </xf>
    <xf numFmtId="0" fontId="14" fillId="12" borderId="98" xfId="0" applyFont="1" applyFill="1" applyBorder="1" applyAlignment="1">
      <alignment horizontal="center" vertical="center" wrapText="1"/>
    </xf>
    <xf numFmtId="0" fontId="14" fillId="12" borderId="110" xfId="0" applyFont="1" applyFill="1" applyBorder="1" applyAlignment="1">
      <alignment horizontal="center" vertical="center" wrapText="1"/>
    </xf>
    <xf numFmtId="3" fontId="12" fillId="5" borderId="27" xfId="0" applyNumberFormat="1" applyFont="1" applyFill="1" applyBorder="1" applyAlignment="1">
      <alignment horizontal="right" vertical="center" wrapText="1" indent="1"/>
    </xf>
    <xf numFmtId="3" fontId="12" fillId="5" borderId="32" xfId="0" applyNumberFormat="1" applyFont="1" applyFill="1" applyBorder="1" applyAlignment="1">
      <alignment horizontal="right" vertical="center" wrapText="1" indent="1"/>
    </xf>
    <xf numFmtId="0" fontId="79" fillId="0" borderId="0" xfId="0" applyFont="1" applyAlignment="1">
      <alignment horizontal="center" vertical="center"/>
    </xf>
    <xf numFmtId="0" fontId="24" fillId="0" borderId="71" xfId="0" applyFont="1" applyBorder="1" applyAlignment="1">
      <alignment horizontal="center" vertical="center"/>
    </xf>
    <xf numFmtId="0" fontId="4" fillId="0" borderId="0" xfId="0" applyFont="1" applyAlignment="1">
      <alignment horizontal="left" vertical="center" wrapText="1"/>
    </xf>
    <xf numFmtId="0" fontId="6" fillId="5" borderId="124" xfId="0" applyFont="1" applyFill="1" applyBorder="1" applyAlignment="1">
      <alignment horizontal="center" vertical="center" wrapText="1"/>
    </xf>
    <xf numFmtId="0" fontId="6" fillId="5" borderId="125" xfId="0" applyFont="1" applyFill="1" applyBorder="1" applyAlignment="1">
      <alignment horizontal="center" vertical="center" wrapText="1"/>
    </xf>
    <xf numFmtId="3" fontId="12" fillId="5" borderId="26" xfId="0" applyNumberFormat="1" applyFont="1" applyFill="1" applyBorder="1" applyAlignment="1">
      <alignment horizontal="right" vertical="center" wrapText="1" indent="1"/>
    </xf>
    <xf numFmtId="3" fontId="12" fillId="5" borderId="31" xfId="0" applyNumberFormat="1" applyFont="1" applyFill="1" applyBorder="1" applyAlignment="1">
      <alignment horizontal="right" vertical="center" wrapText="1" indent="1"/>
    </xf>
    <xf numFmtId="0" fontId="127" fillId="0" borderId="0" xfId="0" applyFont="1" applyAlignment="1">
      <alignment horizontal="left" vertical="center" wrapText="1"/>
    </xf>
    <xf numFmtId="0" fontId="128" fillId="0" borderId="0" xfId="0" applyFont="1" applyAlignment="1">
      <alignment horizontal="left" vertical="center" wrapText="1"/>
    </xf>
    <xf numFmtId="0" fontId="13" fillId="0" borderId="0" xfId="0" applyFont="1" applyAlignment="1">
      <alignment horizontal="left" vertical="center" wrapText="1"/>
    </xf>
    <xf numFmtId="0" fontId="101" fillId="0" borderId="0" xfId="0" applyFont="1" applyBorder="1" applyAlignment="1">
      <alignment horizontal="center" vertical="center"/>
    </xf>
    <xf numFmtId="0" fontId="19" fillId="0" borderId="0" xfId="0" applyFont="1" applyBorder="1" applyAlignment="1">
      <alignment horizontal="left" vertical="center" wrapText="1"/>
    </xf>
    <xf numFmtId="0" fontId="50" fillId="0" borderId="0" xfId="0" applyFont="1" applyAlignment="1">
      <alignment horizontal="center" vertical="center"/>
    </xf>
    <xf numFmtId="0" fontId="9" fillId="2" borderId="47" xfId="0" applyFont="1" applyFill="1" applyBorder="1" applyAlignment="1">
      <alignment horizontal="center" vertical="center" wrapText="1"/>
    </xf>
    <xf numFmtId="0" fontId="9" fillId="2" borderId="48" xfId="0" applyFont="1" applyFill="1" applyBorder="1" applyAlignment="1">
      <alignment horizontal="center" vertical="center" wrapText="1"/>
    </xf>
    <xf numFmtId="0" fontId="7" fillId="0" borderId="23" xfId="0" applyFont="1" applyBorder="1" applyAlignment="1">
      <alignment vertical="center" wrapText="1"/>
    </xf>
    <xf numFmtId="0" fontId="7" fillId="0" borderId="29" xfId="0" applyFont="1" applyBorder="1" applyAlignment="1">
      <alignment vertical="center" wrapText="1"/>
    </xf>
    <xf numFmtId="0" fontId="14" fillId="2" borderId="22" xfId="0" applyFont="1" applyFill="1" applyBorder="1" applyAlignment="1">
      <alignment horizontal="center" vertical="center" wrapText="1"/>
    </xf>
    <xf numFmtId="0" fontId="14" fillId="2" borderId="130"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03" fillId="0" borderId="0" xfId="0" applyFont="1" applyAlignment="1">
      <alignment horizontal="center" vertical="center"/>
    </xf>
    <xf numFmtId="0" fontId="27" fillId="0" borderId="71" xfId="0" applyFont="1" applyBorder="1" applyAlignment="1">
      <alignment horizontal="center" vertical="center"/>
    </xf>
    <xf numFmtId="0" fontId="25" fillId="0" borderId="0" xfId="0" applyFont="1" applyAlignment="1">
      <alignment horizontal="center" vertical="center"/>
    </xf>
    <xf numFmtId="0" fontId="62" fillId="0" borderId="0" xfId="0" applyFont="1" applyBorder="1" applyAlignment="1">
      <alignment horizontal="center" vertical="center"/>
    </xf>
    <xf numFmtId="0" fontId="14" fillId="2" borderId="119" xfId="0" applyFont="1" applyFill="1" applyBorder="1" applyAlignment="1">
      <alignment horizontal="justify" vertical="center" wrapText="1"/>
    </xf>
    <xf numFmtId="0" fontId="14" fillId="2" borderId="75" xfId="0" applyFont="1" applyFill="1" applyBorder="1" applyAlignment="1">
      <alignment horizontal="justify" vertical="center" wrapText="1"/>
    </xf>
    <xf numFmtId="0" fontId="14" fillId="2" borderId="150" xfId="0" applyFont="1" applyFill="1" applyBorder="1" applyAlignment="1">
      <alignment horizontal="center" vertical="center" wrapText="1"/>
    </xf>
    <xf numFmtId="0" fontId="14" fillId="2" borderId="151" xfId="0" applyFont="1" applyFill="1" applyBorder="1" applyAlignment="1">
      <alignment horizontal="center" vertical="center" wrapText="1"/>
    </xf>
    <xf numFmtId="9" fontId="14" fillId="2" borderId="26" xfId="0" applyNumberFormat="1" applyFont="1" applyFill="1" applyBorder="1" applyAlignment="1">
      <alignment horizontal="center" vertical="center" wrapText="1"/>
    </xf>
    <xf numFmtId="9" fontId="14" fillId="2" borderId="31" xfId="0" applyNumberFormat="1" applyFont="1" applyFill="1" applyBorder="1" applyAlignment="1">
      <alignment horizontal="center" vertical="center" wrapText="1"/>
    </xf>
    <xf numFmtId="0" fontId="92" fillId="0" borderId="0" xfId="0" applyFont="1" applyAlignment="1">
      <alignment horizontal="left"/>
    </xf>
    <xf numFmtId="3" fontId="7" fillId="3" borderId="26" xfId="0" applyNumberFormat="1" applyFont="1" applyFill="1" applyBorder="1" applyAlignment="1">
      <alignment horizontal="right" vertical="center" wrapText="1" indent="1"/>
    </xf>
    <xf numFmtId="3" fontId="7" fillId="3" borderId="31" xfId="0" applyNumberFormat="1" applyFont="1" applyFill="1" applyBorder="1" applyAlignment="1">
      <alignment horizontal="right" vertical="center" wrapText="1" indent="1"/>
    </xf>
    <xf numFmtId="3" fontId="7" fillId="3" borderId="27" xfId="0" applyNumberFormat="1" applyFont="1" applyFill="1" applyBorder="1" applyAlignment="1">
      <alignment horizontal="right" vertical="center" wrapText="1" indent="1"/>
    </xf>
    <xf numFmtId="3" fontId="7" fillId="3" borderId="32" xfId="0" applyNumberFormat="1" applyFont="1" applyFill="1" applyBorder="1" applyAlignment="1">
      <alignment horizontal="right" vertical="center" wrapText="1" indent="1"/>
    </xf>
    <xf numFmtId="0" fontId="58" fillId="0" borderId="71" xfId="0" applyFont="1" applyBorder="1" applyAlignment="1">
      <alignment horizontal="center" vertical="center"/>
    </xf>
    <xf numFmtId="0" fontId="58" fillId="0" borderId="0" xfId="0" applyFont="1" applyBorder="1" applyAlignment="1">
      <alignment horizontal="center" vertical="center"/>
    </xf>
    <xf numFmtId="0" fontId="88" fillId="0" borderId="0" xfId="0" applyFont="1" applyAlignment="1">
      <alignment horizontal="center" vertical="center"/>
    </xf>
    <xf numFmtId="0" fontId="53" fillId="0" borderId="71" xfId="0" applyFont="1" applyBorder="1" applyAlignment="1">
      <alignment horizontal="center" vertical="center"/>
    </xf>
    <xf numFmtId="3" fontId="92" fillId="0" borderId="65" xfId="0" applyNumberFormat="1" applyFont="1" applyBorder="1" applyAlignment="1">
      <alignment horizontal="right" vertical="center" wrapText="1" indent="1"/>
    </xf>
    <xf numFmtId="3" fontId="92" fillId="0" borderId="68" xfId="0" applyNumberFormat="1" applyFont="1" applyBorder="1" applyAlignment="1">
      <alignment horizontal="right" vertical="center" wrapText="1" indent="1"/>
    </xf>
    <xf numFmtId="3" fontId="92" fillId="0" borderId="66" xfId="0" applyNumberFormat="1" applyFont="1" applyBorder="1" applyAlignment="1">
      <alignment horizontal="right" vertical="center" wrapText="1" indent="1"/>
    </xf>
    <xf numFmtId="3" fontId="92" fillId="0" borderId="69" xfId="0" applyNumberFormat="1" applyFont="1" applyBorder="1" applyAlignment="1">
      <alignment horizontal="right" vertical="center" wrapText="1" indent="1"/>
    </xf>
    <xf numFmtId="0" fontId="109" fillId="0" borderId="0" xfId="0" applyFont="1" applyAlignment="1">
      <alignment horizontal="center" vertical="center"/>
    </xf>
    <xf numFmtId="0" fontId="100" fillId="0" borderId="0" xfId="0" applyFont="1" applyAlignment="1">
      <alignment horizontal="center" vertical="center"/>
    </xf>
    <xf numFmtId="0" fontId="20" fillId="12" borderId="23" xfId="0" applyFont="1" applyFill="1" applyBorder="1" applyAlignment="1">
      <alignment horizontal="center" vertical="center" wrapText="1"/>
    </xf>
    <xf numFmtId="0" fontId="92" fillId="0" borderId="0" xfId="0" applyFont="1" applyBorder="1" applyAlignment="1">
      <alignment vertical="center" wrapText="1"/>
    </xf>
    <xf numFmtId="0" fontId="20" fillId="12" borderId="26" xfId="0" applyFont="1" applyFill="1" applyBorder="1" applyAlignment="1">
      <alignment horizontal="center" vertical="center" wrapText="1"/>
    </xf>
    <xf numFmtId="0" fontId="20" fillId="12" borderId="26" xfId="0" applyFont="1" applyFill="1" applyBorder="1" applyAlignment="1">
      <alignment vertical="center" wrapText="1"/>
    </xf>
    <xf numFmtId="0" fontId="20" fillId="12" borderId="23" xfId="0" applyFont="1" applyFill="1" applyBorder="1" applyAlignment="1">
      <alignment vertical="center" wrapText="1"/>
    </xf>
    <xf numFmtId="0" fontId="20" fillId="12" borderId="27" xfId="0" applyFont="1" applyFill="1" applyBorder="1" applyAlignment="1">
      <alignment horizontal="center" vertical="center" wrapText="1"/>
    </xf>
    <xf numFmtId="0" fontId="20" fillId="12" borderId="29" xfId="0" applyFont="1" applyFill="1" applyBorder="1" applyAlignment="1">
      <alignment horizontal="center" vertical="center" wrapText="1"/>
    </xf>
    <xf numFmtId="0" fontId="20" fillId="12" borderId="33" xfId="0" applyFont="1" applyFill="1" applyBorder="1" applyAlignment="1">
      <alignment horizontal="center" vertical="center" wrapText="1"/>
    </xf>
    <xf numFmtId="3" fontId="92" fillId="0" borderId="0" xfId="0" applyNumberFormat="1" applyFont="1" applyAlignment="1">
      <alignment horizontal="right" vertical="center" wrapText="1" indent="1"/>
    </xf>
    <xf numFmtId="3" fontId="92" fillId="0" borderId="0" xfId="0" applyNumberFormat="1" applyFont="1" applyBorder="1" applyAlignment="1">
      <alignment horizontal="right" vertical="center" wrapText="1" indent="1"/>
    </xf>
    <xf numFmtId="3" fontId="19" fillId="0" borderId="57" xfId="1" applyNumberFormat="1" applyFont="1" applyBorder="1" applyAlignment="1">
      <alignment horizontal="right" vertical="center" wrapText="1" indent="1"/>
    </xf>
    <xf numFmtId="3" fontId="19" fillId="0" borderId="52" xfId="1" applyNumberFormat="1" applyFont="1" applyBorder="1" applyAlignment="1">
      <alignment horizontal="right" vertical="center" wrapText="1" indent="1"/>
    </xf>
    <xf numFmtId="3" fontId="19" fillId="0" borderId="118" xfId="1" applyNumberFormat="1" applyFont="1" applyBorder="1" applyAlignment="1">
      <alignment horizontal="right" vertical="center" wrapText="1" indent="1"/>
    </xf>
    <xf numFmtId="3" fontId="34" fillId="0" borderId="57" xfId="1" applyNumberFormat="1" applyFont="1" applyBorder="1" applyAlignment="1">
      <alignment horizontal="right" vertical="center" wrapText="1" indent="1"/>
    </xf>
    <xf numFmtId="3" fontId="34" fillId="0" borderId="52" xfId="1" applyNumberFormat="1" applyFont="1" applyBorder="1" applyAlignment="1">
      <alignment horizontal="right" vertical="center" wrapText="1" indent="1"/>
    </xf>
    <xf numFmtId="3" fontId="34" fillId="0" borderId="118" xfId="1" applyNumberFormat="1" applyFont="1" applyBorder="1" applyAlignment="1">
      <alignment horizontal="right" vertical="center" wrapText="1" indent="1"/>
    </xf>
    <xf numFmtId="0" fontId="110" fillId="0" borderId="0" xfId="0" applyFont="1" applyAlignment="1">
      <alignment horizontal="center" vertical="center"/>
    </xf>
    <xf numFmtId="0" fontId="14" fillId="12" borderId="63" xfId="0" applyFont="1" applyFill="1" applyBorder="1" applyAlignment="1">
      <alignment horizontal="center" vertical="center" wrapText="1"/>
    </xf>
    <xf numFmtId="0" fontId="14" fillId="12" borderId="64" xfId="0" applyFont="1" applyFill="1" applyBorder="1" applyAlignment="1">
      <alignment horizontal="center" vertical="center" wrapText="1"/>
    </xf>
    <xf numFmtId="0" fontId="14" fillId="12" borderId="60" xfId="0" applyFont="1" applyFill="1" applyBorder="1" applyAlignment="1">
      <alignment horizontal="center" vertical="center" wrapText="1"/>
    </xf>
    <xf numFmtId="0" fontId="20" fillId="12" borderId="65" xfId="0" applyFont="1" applyFill="1" applyBorder="1" applyAlignment="1">
      <alignment horizontal="center" vertical="center" wrapText="1"/>
    </xf>
    <xf numFmtId="0" fontId="20" fillId="12" borderId="67" xfId="0" applyFont="1" applyFill="1" applyBorder="1" applyAlignment="1">
      <alignment horizontal="center" vertical="center" wrapText="1"/>
    </xf>
    <xf numFmtId="0" fontId="20" fillId="12" borderId="68" xfId="0" applyFont="1" applyFill="1" applyBorder="1" applyAlignment="1">
      <alignment horizontal="center" vertical="center" wrapText="1"/>
    </xf>
    <xf numFmtId="0" fontId="20" fillId="12" borderId="63" xfId="0" applyFont="1" applyFill="1" applyBorder="1" applyAlignment="1">
      <alignment horizontal="center" vertical="center" wrapText="1"/>
    </xf>
    <xf numFmtId="0" fontId="20" fillId="12" borderId="60" xfId="0" applyFont="1" applyFill="1" applyBorder="1" applyAlignment="1">
      <alignment horizontal="center" vertical="center" wrapText="1"/>
    </xf>
    <xf numFmtId="0" fontId="20" fillId="12" borderId="57" xfId="0" applyFont="1" applyFill="1" applyBorder="1" applyAlignment="1">
      <alignment horizontal="center" vertical="center" wrapText="1"/>
    </xf>
    <xf numFmtId="0" fontId="20" fillId="12" borderId="52" xfId="0" applyFont="1" applyFill="1" applyBorder="1" applyAlignment="1">
      <alignment horizontal="center" vertical="center" wrapText="1"/>
    </xf>
    <xf numFmtId="0" fontId="20" fillId="12" borderId="118" xfId="0" applyFont="1" applyFill="1" applyBorder="1" applyAlignment="1">
      <alignment horizontal="center" vertical="center" wrapText="1"/>
    </xf>
    <xf numFmtId="0" fontId="50" fillId="0" borderId="53" xfId="0" applyFont="1" applyBorder="1" applyAlignment="1">
      <alignment horizontal="center" vertical="center"/>
    </xf>
    <xf numFmtId="0" fontId="92" fillId="0" borderId="23" xfId="0" applyFont="1" applyBorder="1" applyAlignment="1">
      <alignment vertical="center" wrapText="1"/>
    </xf>
    <xf numFmtId="0" fontId="92" fillId="0" borderId="29" xfId="0" applyFont="1" applyBorder="1" applyAlignment="1">
      <alignment vertical="center" wrapText="1"/>
    </xf>
    <xf numFmtId="0" fontId="92" fillId="0" borderId="31" xfId="0" applyFont="1" applyBorder="1" applyAlignment="1">
      <alignment vertical="center" wrapText="1"/>
    </xf>
    <xf numFmtId="0" fontId="92" fillId="0" borderId="32" xfId="0" applyFont="1" applyBorder="1" applyAlignment="1">
      <alignment vertical="center" wrapText="1"/>
    </xf>
    <xf numFmtId="0" fontId="72" fillId="0" borderId="52" xfId="0" applyFont="1" applyBorder="1" applyAlignment="1">
      <alignment horizontal="center" vertical="center"/>
    </xf>
    <xf numFmtId="0" fontId="6" fillId="12" borderId="152" xfId="0" applyFont="1" applyFill="1" applyBorder="1" applyAlignment="1">
      <alignment horizontal="center" vertical="center" wrapText="1"/>
    </xf>
    <xf numFmtId="0" fontId="6" fillId="12" borderId="153" xfId="0" applyFont="1" applyFill="1" applyBorder="1" applyAlignment="1">
      <alignment horizontal="center" vertical="center" wrapText="1"/>
    </xf>
    <xf numFmtId="0" fontId="92" fillId="0" borderId="26" xfId="0" applyFont="1" applyBorder="1" applyAlignment="1">
      <alignment vertical="center" wrapText="1"/>
    </xf>
    <xf numFmtId="0" fontId="92" fillId="0" borderId="27" xfId="0" applyFont="1" applyBorder="1" applyAlignment="1">
      <alignment vertical="center" wrapText="1"/>
    </xf>
    <xf numFmtId="0" fontId="109" fillId="0" borderId="71" xfId="0" applyFont="1" applyBorder="1" applyAlignment="1">
      <alignment horizontal="center" vertical="center" wrapText="1"/>
    </xf>
    <xf numFmtId="0" fontId="6" fillId="12" borderId="26"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6" fillId="12" borderId="27" xfId="0" applyFont="1" applyFill="1" applyBorder="1" applyAlignment="1">
      <alignment horizontal="center" vertical="center" wrapText="1"/>
    </xf>
    <xf numFmtId="0" fontId="6" fillId="12" borderId="32" xfId="0" applyFont="1" applyFill="1" applyBorder="1" applyAlignment="1">
      <alignment horizontal="center" vertical="center" wrapText="1"/>
    </xf>
    <xf numFmtId="0" fontId="34" fillId="16" borderId="54" xfId="0" applyFont="1" applyFill="1" applyBorder="1" applyAlignment="1">
      <alignment horizontal="center" vertical="center" wrapText="1"/>
    </xf>
    <xf numFmtId="0" fontId="34" fillId="16" borderId="59" xfId="0" applyFont="1" applyFill="1" applyBorder="1" applyAlignment="1">
      <alignment horizontal="center" vertical="center" wrapText="1"/>
    </xf>
    <xf numFmtId="0" fontId="19" fillId="16" borderId="35" xfId="0" applyFont="1" applyFill="1" applyBorder="1" applyAlignment="1">
      <alignment horizontal="center" vertical="center" wrapText="1"/>
    </xf>
    <xf numFmtId="0" fontId="19" fillId="16" borderId="37" xfId="0" applyFont="1" applyFill="1" applyBorder="1" applyAlignment="1">
      <alignment horizontal="center" vertical="center" wrapText="1"/>
    </xf>
    <xf numFmtId="0" fontId="14" fillId="12" borderId="68" xfId="0" applyFont="1" applyFill="1" applyBorder="1" applyAlignment="1">
      <alignment horizontal="center" vertical="center" wrapText="1"/>
    </xf>
    <xf numFmtId="0" fontId="14" fillId="12" borderId="58" xfId="0" applyFont="1" applyFill="1" applyBorder="1" applyAlignment="1">
      <alignment horizontal="center" vertical="center" wrapText="1"/>
    </xf>
    <xf numFmtId="0" fontId="14" fillId="12" borderId="76" xfId="0" applyFont="1" applyFill="1" applyBorder="1" applyAlignment="1">
      <alignment horizontal="center" vertical="center" wrapText="1"/>
    </xf>
    <xf numFmtId="0" fontId="14" fillId="12" borderId="25" xfId="0" applyFont="1" applyFill="1" applyBorder="1" applyAlignment="1">
      <alignment horizontal="center" vertical="center" wrapText="1"/>
    </xf>
    <xf numFmtId="0" fontId="14" fillId="12" borderId="27" xfId="0" applyFont="1" applyFill="1" applyBorder="1" applyAlignment="1">
      <alignment horizontal="center" vertical="center" wrapText="1"/>
    </xf>
    <xf numFmtId="0" fontId="14" fillId="12" borderId="28" xfId="0" applyFont="1" applyFill="1" applyBorder="1" applyAlignment="1">
      <alignment horizontal="center" vertical="center" wrapText="1"/>
    </xf>
    <xf numFmtId="0" fontId="14" fillId="12" borderId="29" xfId="0" applyFont="1" applyFill="1" applyBorder="1" applyAlignment="1">
      <alignment horizontal="center" vertical="center" wrapText="1"/>
    </xf>
    <xf numFmtId="0" fontId="14" fillId="12" borderId="124" xfId="0" applyFont="1" applyFill="1" applyBorder="1" applyAlignment="1">
      <alignment horizontal="center" vertical="center" wrapText="1"/>
    </xf>
    <xf numFmtId="0" fontId="14" fillId="12" borderId="33" xfId="0" applyFont="1" applyFill="1" applyBorder="1" applyAlignment="1">
      <alignment horizontal="center" vertical="center" wrapText="1"/>
    </xf>
    <xf numFmtId="0" fontId="34" fillId="0" borderId="55" xfId="0" applyFont="1" applyBorder="1" applyAlignment="1">
      <alignment horizontal="center" vertical="center" wrapText="1"/>
    </xf>
    <xf numFmtId="0" fontId="34" fillId="0" borderId="56"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38" xfId="0" applyFont="1" applyBorder="1" applyAlignment="1">
      <alignment horizontal="center" vertical="center" wrapText="1"/>
    </xf>
    <xf numFmtId="0" fontId="34" fillId="0" borderId="36" xfId="0" applyFont="1" applyBorder="1" applyAlignment="1">
      <alignment horizontal="center" vertical="center" wrapText="1"/>
    </xf>
    <xf numFmtId="0" fontId="34" fillId="0" borderId="38" xfId="0" applyFont="1" applyBorder="1" applyAlignment="1">
      <alignment horizontal="center" vertical="center" wrapText="1"/>
    </xf>
    <xf numFmtId="0" fontId="19" fillId="0" borderId="50" xfId="0" applyFont="1" applyBorder="1" applyAlignment="1">
      <alignment vertical="center" wrapText="1"/>
    </xf>
    <xf numFmtId="0" fontId="19" fillId="0" borderId="51" xfId="0" applyFont="1" applyBorder="1" applyAlignment="1">
      <alignment vertical="center" wrapText="1"/>
    </xf>
    <xf numFmtId="0" fontId="34" fillId="16" borderId="35" xfId="0" applyFont="1" applyFill="1" applyBorder="1" applyAlignment="1">
      <alignment horizontal="center" vertical="center" wrapText="1"/>
    </xf>
    <xf numFmtId="0" fontId="34" fillId="16" borderId="37" xfId="0" applyFont="1" applyFill="1" applyBorder="1" applyAlignment="1">
      <alignment horizontal="center" vertical="center" wrapText="1"/>
    </xf>
    <xf numFmtId="0" fontId="19" fillId="16" borderId="49" xfId="0" applyFont="1" applyFill="1" applyBorder="1" applyAlignment="1">
      <alignment vertical="center" wrapText="1"/>
    </xf>
    <xf numFmtId="0" fontId="19" fillId="16" borderId="73" xfId="0" applyFont="1" applyFill="1" applyBorder="1" applyAlignment="1">
      <alignment vertical="center" wrapText="1"/>
    </xf>
    <xf numFmtId="0" fontId="68" fillId="0" borderId="0" xfId="0" applyFont="1" applyAlignment="1">
      <alignment horizontal="center" vertical="center"/>
    </xf>
    <xf numFmtId="0" fontId="14" fillId="12" borderId="35" xfId="0" applyFont="1" applyFill="1" applyBorder="1" applyAlignment="1">
      <alignment horizontal="center" vertical="center" wrapText="1"/>
    </xf>
    <xf numFmtId="0" fontId="14" fillId="12" borderId="36" xfId="0" applyFont="1" applyFill="1" applyBorder="1" applyAlignment="1">
      <alignment horizontal="center" vertical="center" wrapText="1"/>
    </xf>
    <xf numFmtId="0" fontId="14" fillId="12" borderId="37" xfId="0" applyFont="1" applyFill="1" applyBorder="1" applyAlignment="1">
      <alignment horizontal="center" vertical="center" wrapText="1"/>
    </xf>
    <xf numFmtId="0" fontId="14" fillId="12" borderId="49" xfId="0" applyFont="1" applyFill="1" applyBorder="1" applyAlignment="1">
      <alignment horizontal="center" vertical="center" wrapText="1"/>
    </xf>
    <xf numFmtId="0" fontId="14" fillId="12" borderId="50" xfId="0" applyFont="1" applyFill="1" applyBorder="1" applyAlignment="1">
      <alignment horizontal="center" vertical="center" wrapText="1"/>
    </xf>
    <xf numFmtId="0" fontId="14" fillId="12" borderId="73"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4" fillId="12" borderId="23" xfId="0" applyFont="1" applyFill="1" applyBorder="1" applyAlignment="1">
      <alignment horizontal="center" vertical="center" wrapText="1"/>
    </xf>
    <xf numFmtId="3" fontId="43" fillId="0" borderId="140" xfId="0" applyNumberFormat="1" applyFont="1" applyBorder="1" applyAlignment="1">
      <alignment horizontal="right" vertical="center" wrapText="1" indent="1"/>
    </xf>
    <xf numFmtId="3" fontId="43" fillId="0" borderId="17" xfId="0" applyNumberFormat="1" applyFont="1" applyBorder="1" applyAlignment="1">
      <alignment horizontal="right" vertical="center" wrapText="1" indent="1"/>
    </xf>
    <xf numFmtId="3" fontId="26" fillId="0" borderId="141" xfId="0" applyNumberFormat="1" applyFont="1" applyBorder="1" applyAlignment="1">
      <alignment horizontal="right" vertical="center" wrapText="1" indent="1"/>
    </xf>
    <xf numFmtId="3" fontId="26" fillId="0" borderId="142" xfId="0" applyNumberFormat="1" applyFont="1" applyBorder="1" applyAlignment="1">
      <alignment horizontal="right" vertical="center" wrapText="1" indent="1"/>
    </xf>
    <xf numFmtId="3" fontId="37" fillId="0" borderId="140" xfId="0" applyNumberFormat="1" applyFont="1" applyBorder="1" applyAlignment="1">
      <alignment horizontal="right" vertical="center" wrapText="1" indent="1"/>
    </xf>
    <xf numFmtId="3" fontId="37" fillId="0" borderId="17" xfId="0" applyNumberFormat="1" applyFont="1" applyBorder="1" applyAlignment="1">
      <alignment horizontal="right" vertical="center" wrapText="1" indent="1"/>
    </xf>
    <xf numFmtId="3" fontId="37" fillId="0" borderId="141" xfId="0" applyNumberFormat="1" applyFont="1" applyBorder="1" applyAlignment="1">
      <alignment horizontal="right" vertical="center" wrapText="1" indent="1"/>
    </xf>
    <xf numFmtId="3" fontId="37" fillId="0" borderId="142" xfId="0" applyNumberFormat="1" applyFont="1" applyBorder="1" applyAlignment="1">
      <alignment horizontal="right" vertical="center" wrapText="1" indent="1"/>
    </xf>
    <xf numFmtId="3" fontId="20" fillId="13" borderId="145" xfId="0" applyNumberFormat="1" applyFont="1" applyFill="1" applyBorder="1" applyAlignment="1">
      <alignment horizontal="right" vertical="center" wrapText="1" indent="1"/>
    </xf>
    <xf numFmtId="3" fontId="20" fillId="13" borderId="146" xfId="0" applyNumberFormat="1" applyFont="1" applyFill="1" applyBorder="1" applyAlignment="1">
      <alignment horizontal="right" vertical="center" wrapText="1" indent="1"/>
    </xf>
    <xf numFmtId="3" fontId="26" fillId="0" borderId="140" xfId="0" applyNumberFormat="1" applyFont="1" applyBorder="1" applyAlignment="1">
      <alignment horizontal="right" vertical="center" wrapText="1" indent="1"/>
    </xf>
    <xf numFmtId="3" fontId="26" fillId="0" borderId="17" xfId="0" applyNumberFormat="1" applyFont="1" applyBorder="1" applyAlignment="1">
      <alignment horizontal="right" vertical="center" wrapText="1" indent="1"/>
    </xf>
    <xf numFmtId="0" fontId="66" fillId="0" borderId="3" xfId="0" applyFont="1" applyBorder="1" applyAlignment="1">
      <alignment horizontal="center" vertical="center"/>
    </xf>
    <xf numFmtId="3" fontId="20" fillId="13" borderId="143" xfId="0" applyNumberFormat="1" applyFont="1" applyFill="1" applyBorder="1" applyAlignment="1">
      <alignment horizontal="right" vertical="center" wrapText="1" indent="1"/>
    </xf>
    <xf numFmtId="3" fontId="20" fillId="13" borderId="144" xfId="0" applyNumberFormat="1" applyFont="1" applyFill="1" applyBorder="1" applyAlignment="1">
      <alignment horizontal="right" vertical="center" wrapText="1" indent="1"/>
    </xf>
    <xf numFmtId="3" fontId="26" fillId="0" borderId="138" xfId="0" applyNumberFormat="1" applyFont="1" applyBorder="1" applyAlignment="1">
      <alignment horizontal="right" vertical="center" wrapText="1" indent="1"/>
    </xf>
    <xf numFmtId="3" fontId="26" fillId="0" borderId="16" xfId="0" applyNumberFormat="1" applyFont="1" applyBorder="1" applyAlignment="1">
      <alignment horizontal="right" vertical="center" wrapText="1" indent="1"/>
    </xf>
    <xf numFmtId="3" fontId="26" fillId="0" borderId="139" xfId="0" applyNumberFormat="1" applyFont="1" applyBorder="1" applyAlignment="1">
      <alignment horizontal="right" vertical="center" wrapText="1" indent="1"/>
    </xf>
    <xf numFmtId="3" fontId="26" fillId="0" borderId="19" xfId="0" applyNumberFormat="1" applyFont="1" applyBorder="1" applyAlignment="1">
      <alignment horizontal="right" vertical="center" wrapText="1" indent="1"/>
    </xf>
    <xf numFmtId="3" fontId="37" fillId="0" borderId="138" xfId="0" applyNumberFormat="1" applyFont="1" applyBorder="1" applyAlignment="1">
      <alignment horizontal="right" vertical="center" wrapText="1" indent="1"/>
    </xf>
    <xf numFmtId="3" fontId="37" fillId="0" borderId="16" xfId="0" applyNumberFormat="1" applyFont="1" applyBorder="1" applyAlignment="1">
      <alignment horizontal="right" vertical="center" wrapText="1" indent="1"/>
    </xf>
    <xf numFmtId="3" fontId="26" fillId="12" borderId="22" xfId="0" applyNumberFormat="1" applyFont="1" applyFill="1" applyBorder="1" applyAlignment="1">
      <alignment horizontal="right" vertical="center" wrapText="1" indent="1"/>
    </xf>
    <xf numFmtId="3" fontId="26" fillId="12" borderId="130" xfId="0" applyNumberFormat="1" applyFont="1" applyFill="1" applyBorder="1" applyAlignment="1">
      <alignment horizontal="right" vertical="center" wrapText="1" indent="1"/>
    </xf>
    <xf numFmtId="3" fontId="26" fillId="12" borderId="18" xfId="0" applyNumberFormat="1" applyFont="1" applyFill="1" applyBorder="1" applyAlignment="1">
      <alignment horizontal="right" vertical="center" wrapText="1" indent="1"/>
    </xf>
    <xf numFmtId="3" fontId="43" fillId="0" borderId="141" xfId="0" applyNumberFormat="1" applyFont="1" applyBorder="1" applyAlignment="1">
      <alignment horizontal="right" vertical="center" wrapText="1" indent="1"/>
    </xf>
    <xf numFmtId="3" fontId="43" fillId="0" borderId="142" xfId="0" applyNumberFormat="1" applyFont="1" applyBorder="1" applyAlignment="1">
      <alignment horizontal="right" vertical="center" wrapText="1" indent="1"/>
    </xf>
    <xf numFmtId="0" fontId="20" fillId="2" borderId="138"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0" fillId="2" borderId="139"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21" xfId="0" applyFont="1" applyFill="1" applyBorder="1" applyAlignment="1">
      <alignment horizontal="center" vertical="center" wrapText="1"/>
    </xf>
    <xf numFmtId="3" fontId="20" fillId="13" borderId="140" xfId="0" applyNumberFormat="1" applyFont="1" applyFill="1" applyBorder="1" applyAlignment="1">
      <alignment horizontal="right" vertical="center" wrapText="1" indent="1"/>
    </xf>
    <xf numFmtId="3" fontId="20" fillId="13" borderId="17" xfId="0" applyNumberFormat="1" applyFont="1" applyFill="1" applyBorder="1" applyAlignment="1">
      <alignment horizontal="right" vertical="center" wrapText="1" indent="1"/>
    </xf>
    <xf numFmtId="3" fontId="37" fillId="0" borderId="139" xfId="0" applyNumberFormat="1" applyFont="1" applyBorder="1" applyAlignment="1">
      <alignment horizontal="right" vertical="center" wrapText="1" indent="1"/>
    </xf>
    <xf numFmtId="3" fontId="37" fillId="0" borderId="19" xfId="0" applyNumberFormat="1" applyFont="1" applyBorder="1" applyAlignment="1">
      <alignment horizontal="right" vertical="center" wrapText="1" indent="1"/>
    </xf>
    <xf numFmtId="3" fontId="21" fillId="0" borderId="141" xfId="0" applyNumberFormat="1" applyFont="1" applyBorder="1" applyAlignment="1">
      <alignment horizontal="right" vertical="center" wrapText="1" indent="1"/>
    </xf>
    <xf numFmtId="3" fontId="21" fillId="0" borderId="142" xfId="0" applyNumberFormat="1" applyFont="1" applyBorder="1" applyAlignment="1">
      <alignment horizontal="right" vertical="center" wrapText="1" indent="1"/>
    </xf>
    <xf numFmtId="0" fontId="55" fillId="0" borderId="0" xfId="0" applyFont="1" applyAlignment="1">
      <alignment horizontal="left"/>
    </xf>
    <xf numFmtId="0" fontId="21" fillId="13" borderId="145" xfId="0" quotePrefix="1" applyFont="1" applyFill="1" applyBorder="1" applyAlignment="1">
      <alignment horizontal="justify" vertical="center" wrapText="1"/>
    </xf>
    <xf numFmtId="0" fontId="21" fillId="13" borderId="146" xfId="0" applyFont="1" applyFill="1" applyBorder="1" applyAlignment="1">
      <alignment horizontal="justify" vertical="center" wrapText="1"/>
    </xf>
    <xf numFmtId="0" fontId="26" fillId="3" borderId="22" xfId="0" applyFont="1" applyFill="1" applyBorder="1" applyAlignment="1">
      <alignment vertical="center" wrapText="1"/>
    </xf>
    <xf numFmtId="0" fontId="26" fillId="3" borderId="18" xfId="0" applyFont="1" applyFill="1" applyBorder="1" applyAlignment="1">
      <alignment vertical="center" wrapText="1"/>
    </xf>
    <xf numFmtId="3" fontId="26" fillId="3" borderId="22" xfId="0" applyNumberFormat="1" applyFont="1" applyFill="1" applyBorder="1" applyAlignment="1">
      <alignment horizontal="right" vertical="center" wrapText="1" indent="1"/>
    </xf>
    <xf numFmtId="3" fontId="26" fillId="3" borderId="18" xfId="0" applyNumberFormat="1" applyFont="1" applyFill="1" applyBorder="1" applyAlignment="1">
      <alignment horizontal="right" vertical="center" wrapText="1" indent="1"/>
    </xf>
    <xf numFmtId="0" fontId="26" fillId="12" borderId="22" xfId="0" applyFont="1" applyFill="1" applyBorder="1" applyAlignment="1">
      <alignment horizontal="center" vertical="center" wrapText="1"/>
    </xf>
    <xf numFmtId="0" fontId="26" fillId="12" borderId="130" xfId="0" applyFont="1" applyFill="1" applyBorder="1" applyAlignment="1">
      <alignment horizontal="center" vertical="center" wrapText="1"/>
    </xf>
    <xf numFmtId="0" fontId="10" fillId="0" borderId="0" xfId="0" applyFont="1" applyAlignment="1">
      <alignment horizontal="left" vertical="center" wrapText="1"/>
    </xf>
    <xf numFmtId="0" fontId="135" fillId="0" borderId="71" xfId="0" applyFont="1" applyBorder="1" applyAlignment="1">
      <alignment horizontal="center" vertical="center"/>
    </xf>
    <xf numFmtId="1" fontId="143" fillId="0" borderId="147" xfId="2" applyNumberFormat="1" applyFont="1" applyBorder="1" applyAlignment="1" applyProtection="1">
      <alignment horizontal="center"/>
      <protection hidden="1"/>
    </xf>
    <xf numFmtId="1" fontId="143" fillId="0" borderId="53" xfId="2" applyNumberFormat="1" applyFont="1" applyBorder="1" applyAlignment="1" applyProtection="1">
      <alignment horizontal="center"/>
      <protection hidden="1"/>
    </xf>
    <xf numFmtId="1" fontId="143" fillId="0" borderId="43" xfId="2" applyNumberFormat="1" applyFont="1" applyBorder="1" applyAlignment="1" applyProtection="1">
      <alignment horizontal="center"/>
      <protection hidden="1"/>
    </xf>
    <xf numFmtId="14" fontId="144" fillId="0" borderId="147" xfId="2" applyNumberFormat="1" applyFont="1" applyBorder="1" applyAlignment="1" applyProtection="1">
      <alignment horizontal="center"/>
      <protection hidden="1"/>
    </xf>
    <xf numFmtId="0" fontId="141" fillId="0" borderId="76" xfId="2" applyFont="1" applyBorder="1" applyAlignment="1" applyProtection="1">
      <alignment horizontal="center"/>
      <protection hidden="1"/>
    </xf>
    <xf numFmtId="0" fontId="144" fillId="0" borderId="76" xfId="2" applyFont="1" applyBorder="1" applyAlignment="1" applyProtection="1">
      <alignment horizontal="center"/>
      <protection hidden="1"/>
    </xf>
    <xf numFmtId="14" fontId="139" fillId="0" borderId="0" xfId="2" applyNumberFormat="1" applyFont="1" applyBorder="1" applyAlignment="1" applyProtection="1">
      <alignment horizontal="left"/>
      <protection hidden="1"/>
    </xf>
    <xf numFmtId="0" fontId="2" fillId="0" borderId="23" xfId="0" applyFont="1" applyBorder="1" applyAlignment="1">
      <alignment horizontal="center" vertical="center"/>
    </xf>
    <xf numFmtId="0" fontId="2" fillId="0" borderId="23" xfId="0" applyFont="1" applyBorder="1" applyAlignment="1">
      <alignment horizontal="left" vertical="center"/>
    </xf>
    <xf numFmtId="1" fontId="2" fillId="0" borderId="23" xfId="0" applyNumberFormat="1" applyFont="1" applyBorder="1" applyAlignment="1">
      <alignment horizontal="center" vertical="center"/>
    </xf>
    <xf numFmtId="0" fontId="131" fillId="0" borderId="24" xfId="0" applyFont="1" applyBorder="1" applyAlignment="1">
      <alignment horizontal="center" vertical="center"/>
    </xf>
    <xf numFmtId="3" fontId="18" fillId="0" borderId="5" xfId="7" applyNumberFormat="1" applyFont="1" applyBorder="1" applyAlignment="1">
      <alignment horizontal="right" vertical="center" wrapText="1" indent="1"/>
    </xf>
    <xf numFmtId="3" fontId="18" fillId="0" borderId="5" xfId="7" applyNumberFormat="1" applyFont="1" applyBorder="1" applyAlignment="1">
      <alignment horizontal="right" vertical="center" wrapText="1" indent="1"/>
    </xf>
    <xf numFmtId="3" fontId="18" fillId="0" borderId="5" xfId="7" applyNumberFormat="1" applyFont="1" applyBorder="1" applyAlignment="1">
      <alignment horizontal="right" vertical="center" wrapText="1" indent="1"/>
    </xf>
    <xf numFmtId="3" fontId="18" fillId="0" borderId="5" xfId="7" applyNumberFormat="1" applyFont="1" applyBorder="1" applyAlignment="1">
      <alignment horizontal="right" vertical="center" wrapText="1" indent="1"/>
    </xf>
    <xf numFmtId="3" fontId="18" fillId="0" borderId="5" xfId="7" applyNumberFormat="1" applyFont="1" applyBorder="1" applyAlignment="1">
      <alignment horizontal="right" vertical="center" wrapText="1" indent="1"/>
    </xf>
  </cellXfs>
  <cellStyles count="8">
    <cellStyle name="Lien hypertexte" xfId="3" builtinId="8"/>
    <cellStyle name="Milliers" xfId="1" builtinId="3"/>
    <cellStyle name="Milliers 2" xfId="7"/>
    <cellStyle name="Milliers 3" xfId="6"/>
    <cellStyle name="Milliers 4" xfId="5"/>
    <cellStyle name="Normal" xfId="0" builtinId="0"/>
    <cellStyle name="Normal_LIASSE SYSCOA ESSAI 1999" xfId="2"/>
    <cellStyle name="Pourcentag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95251</xdr:colOff>
      <xdr:row>1</xdr:row>
      <xdr:rowOff>28576</xdr:rowOff>
    </xdr:from>
    <xdr:to>
      <xdr:col>9</xdr:col>
      <xdr:colOff>666751</xdr:colOff>
      <xdr:row>4</xdr:row>
      <xdr:rowOff>66675</xdr:rowOff>
    </xdr:to>
    <xdr:grpSp>
      <xdr:nvGrpSpPr>
        <xdr:cNvPr id="2" name="Group 409191">
          <a:extLst>
            <a:ext uri="{FF2B5EF4-FFF2-40B4-BE49-F238E27FC236}">
              <a16:creationId xmlns="" xmlns:a16="http://schemas.microsoft.com/office/drawing/2014/main" id="{2A6F9C79-72BD-400C-A8EA-4354C9B74C3B}"/>
            </a:ext>
          </a:extLst>
        </xdr:cNvPr>
        <xdr:cNvGrpSpPr/>
      </xdr:nvGrpSpPr>
      <xdr:grpSpPr>
        <a:xfrm>
          <a:off x="95251" y="219076"/>
          <a:ext cx="6134100" cy="590549"/>
          <a:chOff x="0" y="0"/>
          <a:chExt cx="5848350" cy="384175"/>
        </a:xfrm>
      </xdr:grpSpPr>
      <xdr:sp macro="" textlink="">
        <xdr:nvSpPr>
          <xdr:cNvPr id="3" name="Rectangle 2">
            <a:extLst>
              <a:ext uri="{FF2B5EF4-FFF2-40B4-BE49-F238E27FC236}">
                <a16:creationId xmlns="" xmlns:a16="http://schemas.microsoft.com/office/drawing/2014/main" id="{B84FE347-E5F4-4AC0-AEBB-7F5411A12287}"/>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 xmlns:a16="http://schemas.microsoft.com/office/drawing/2014/main" id="{FEE29A2F-4492-46C7-A855-BCE9B83B4F5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 xmlns:a16="http://schemas.microsoft.com/office/drawing/2014/main" id="{206C124B-48B4-4632-BABB-6FCAC8DF7B2B}"/>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 xmlns:a16="http://schemas.microsoft.com/office/drawing/2014/main" id="{C3FA7346-2858-4D14-A134-CC3AD7D93F10}"/>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 xmlns:a16="http://schemas.microsoft.com/office/drawing/2014/main" id="{A9F35994-19CE-4E52-A93E-1A7F15EB2674}"/>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PAGE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DE GARDE</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 xmlns:a16="http://schemas.microsoft.com/office/drawing/2014/main" id="{17F89059-5B0B-4286-8046-D5549CD84E84}"/>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 xmlns:a16="http://schemas.microsoft.com/office/drawing/2014/main" id="{5B64C850-D5F1-4F1B-A6AD-94FEC568E930}"/>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0</xdr:row>
      <xdr:rowOff>133351</xdr:rowOff>
    </xdr:from>
    <xdr:to>
      <xdr:col>39</xdr:col>
      <xdr:colOff>400050</xdr:colOff>
      <xdr:row>3</xdr:row>
      <xdr:rowOff>47625</xdr:rowOff>
    </xdr:to>
    <xdr:grpSp>
      <xdr:nvGrpSpPr>
        <xdr:cNvPr id="2" name="Group 409191">
          <a:extLst>
            <a:ext uri="{FF2B5EF4-FFF2-40B4-BE49-F238E27FC236}">
              <a16:creationId xmlns="" xmlns:a16="http://schemas.microsoft.com/office/drawing/2014/main" id="{794416F1-5CFD-4306-8D36-0EF3770F38D1}"/>
            </a:ext>
          </a:extLst>
        </xdr:cNvPr>
        <xdr:cNvGrpSpPr/>
      </xdr:nvGrpSpPr>
      <xdr:grpSpPr>
        <a:xfrm>
          <a:off x="912019" y="133351"/>
          <a:ext cx="6000750" cy="485774"/>
          <a:chOff x="0" y="0"/>
          <a:chExt cx="5848350" cy="384175"/>
        </a:xfrm>
      </xdr:grpSpPr>
      <xdr:sp macro="" textlink="">
        <xdr:nvSpPr>
          <xdr:cNvPr id="3" name="Rectangle 2">
            <a:extLst>
              <a:ext uri="{FF2B5EF4-FFF2-40B4-BE49-F238E27FC236}">
                <a16:creationId xmlns="" xmlns:a16="http://schemas.microsoft.com/office/drawing/2014/main" id="{A419334E-4908-47BB-80FF-A4CE57E25599}"/>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 xmlns:a16="http://schemas.microsoft.com/office/drawing/2014/main" id="{91C66375-45C9-41AD-952C-0B38BAAAE013}"/>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 xmlns:a16="http://schemas.microsoft.com/office/drawing/2014/main" id="{46481490-F609-46E8-801E-C5344C342066}"/>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 xmlns:a16="http://schemas.microsoft.com/office/drawing/2014/main" id="{5CD8C796-EC42-47AC-91BC-D78CDCBB5E7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 xmlns:a16="http://schemas.microsoft.com/office/drawing/2014/main" id="{7AADB7B7-A311-41C8-B74C-93827DE22753}"/>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FICHE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R1</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 xmlns:a16="http://schemas.microsoft.com/office/drawing/2014/main" id="{7AC6AB7E-4CC8-4BD9-BA24-AD067F6D9D63}"/>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 xmlns:a16="http://schemas.microsoft.com/office/drawing/2014/main" id="{0A88FAA8-324E-4DA5-A17C-AF3DA5672131}"/>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0</xdr:row>
      <xdr:rowOff>0</xdr:rowOff>
    </xdr:from>
    <xdr:to>
      <xdr:col>36</xdr:col>
      <xdr:colOff>9525</xdr:colOff>
      <xdr:row>2</xdr:row>
      <xdr:rowOff>104774</xdr:rowOff>
    </xdr:to>
    <xdr:grpSp>
      <xdr:nvGrpSpPr>
        <xdr:cNvPr id="2" name="Group 409191">
          <a:extLst>
            <a:ext uri="{FF2B5EF4-FFF2-40B4-BE49-F238E27FC236}">
              <a16:creationId xmlns="" xmlns:a16="http://schemas.microsoft.com/office/drawing/2014/main" id="{25EAC9F9-43FB-412B-9351-5791CBDEDB98}"/>
            </a:ext>
          </a:extLst>
        </xdr:cNvPr>
        <xdr:cNvGrpSpPr/>
      </xdr:nvGrpSpPr>
      <xdr:grpSpPr>
        <a:xfrm>
          <a:off x="409576" y="0"/>
          <a:ext cx="6429374" cy="485774"/>
          <a:chOff x="0" y="0"/>
          <a:chExt cx="5848350" cy="384175"/>
        </a:xfrm>
      </xdr:grpSpPr>
      <xdr:sp macro="" textlink="">
        <xdr:nvSpPr>
          <xdr:cNvPr id="3" name="Rectangle 2">
            <a:extLst>
              <a:ext uri="{FF2B5EF4-FFF2-40B4-BE49-F238E27FC236}">
                <a16:creationId xmlns="" xmlns:a16="http://schemas.microsoft.com/office/drawing/2014/main" id="{41563801-E6F4-4333-B6BF-CB7FAE7572C7}"/>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 xmlns:a16="http://schemas.microsoft.com/office/drawing/2014/main" id="{96CE41EE-6FAB-43DB-8E11-9E9E20C25214}"/>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 xmlns:a16="http://schemas.microsoft.com/office/drawing/2014/main" id="{B6A9F499-65A4-4343-9454-5AE7D447C232}"/>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 xmlns:a16="http://schemas.microsoft.com/office/drawing/2014/main" id="{DCAC1F7B-2FE1-404E-95B7-475F70748F1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 xmlns:a16="http://schemas.microsoft.com/office/drawing/2014/main" id="{DF0E9DD8-CA85-4A78-8DCE-65C558DA971D}"/>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FICHE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R2</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 xmlns:a16="http://schemas.microsoft.com/office/drawing/2014/main" id="{3C4D6535-B347-4165-889E-E0A9E072BE5E}"/>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 xmlns:a16="http://schemas.microsoft.com/office/drawing/2014/main" id="{B17C399D-8062-4D55-AC09-D1280ED63AFB}"/>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428624</xdr:colOff>
      <xdr:row>0</xdr:row>
      <xdr:rowOff>0</xdr:rowOff>
    </xdr:from>
    <xdr:to>
      <xdr:col>5</xdr:col>
      <xdr:colOff>1504950</xdr:colOff>
      <xdr:row>3</xdr:row>
      <xdr:rowOff>0</xdr:rowOff>
    </xdr:to>
    <xdr:grpSp>
      <xdr:nvGrpSpPr>
        <xdr:cNvPr id="2" name="Group 409191">
          <a:extLst>
            <a:ext uri="{FF2B5EF4-FFF2-40B4-BE49-F238E27FC236}">
              <a16:creationId xmlns="" xmlns:a16="http://schemas.microsoft.com/office/drawing/2014/main" id="{6BE4EDA3-9ACC-41DF-B76B-F64EAD9F96C9}"/>
            </a:ext>
          </a:extLst>
        </xdr:cNvPr>
        <xdr:cNvGrpSpPr/>
      </xdr:nvGrpSpPr>
      <xdr:grpSpPr>
        <a:xfrm>
          <a:off x="380999" y="0"/>
          <a:ext cx="6353176" cy="542925"/>
          <a:chOff x="0" y="0"/>
          <a:chExt cx="5848350" cy="384175"/>
        </a:xfrm>
      </xdr:grpSpPr>
      <xdr:sp macro="" textlink="">
        <xdr:nvSpPr>
          <xdr:cNvPr id="3" name="Rectangle 2">
            <a:extLst>
              <a:ext uri="{FF2B5EF4-FFF2-40B4-BE49-F238E27FC236}">
                <a16:creationId xmlns="" xmlns:a16="http://schemas.microsoft.com/office/drawing/2014/main" id="{EBA77CE2-61A0-4D05-A877-30702E515CE6}"/>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 xmlns:a16="http://schemas.microsoft.com/office/drawing/2014/main" id="{105C20CB-6889-4281-82EC-B2F9BAB14A99}"/>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 xmlns:a16="http://schemas.microsoft.com/office/drawing/2014/main" id="{4B168238-928D-474A-86AA-F418C529B02D}"/>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 xmlns:a16="http://schemas.microsoft.com/office/drawing/2014/main" id="{33B8A5B6-D41D-4D07-A834-B72FF6E9CABB}"/>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 xmlns:a16="http://schemas.microsoft.com/office/drawing/2014/main" id="{99AC074A-52A5-43CE-BAE8-2E9DFEBBA281}"/>
              </a:ext>
            </a:extLst>
          </xdr:cNvPr>
          <xdr:cNvSpPr/>
        </xdr:nvSpPr>
        <xdr:spPr>
          <a:xfrm>
            <a:off x="1275969" y="79365"/>
            <a:ext cx="319122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FICHE</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R3</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 xmlns:a16="http://schemas.microsoft.com/office/drawing/2014/main" id="{17C48485-6E62-42FC-89E4-1AC292F8407C}"/>
              </a:ext>
            </a:extLst>
          </xdr:cNvPr>
          <xdr:cNvSpPr/>
        </xdr:nvSpPr>
        <xdr:spPr>
          <a:xfrm>
            <a:off x="2116074" y="79365"/>
            <a:ext cx="3365628" cy="237150"/>
          </a:xfrm>
          <a:prstGeom prst="rect">
            <a:avLst/>
          </a:prstGeom>
          <a:ln>
            <a:noFill/>
          </a:ln>
        </xdr:spPr>
        <xdr:txBody>
          <a:bodyPr lIns="0" tIns="0" rIns="0" bIns="0" rtlCol="0">
            <a:noAutofit/>
          </a:bodyPr>
          <a:lstStyle/>
          <a:p>
            <a:pPr>
              <a:lnSpc>
                <a:spcPct val="115000"/>
              </a:lnSpc>
              <a:spcAft>
                <a:spcPts val="0"/>
              </a:spcAft>
            </a:pP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 xmlns:a16="http://schemas.microsoft.com/office/drawing/2014/main" id="{4D8F5BCB-E61D-49B1-AF71-0B03E0DA6EBD}"/>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28575</xdr:rowOff>
    </xdr:from>
    <xdr:to>
      <xdr:col>3</xdr:col>
      <xdr:colOff>781050</xdr:colOff>
      <xdr:row>2</xdr:row>
      <xdr:rowOff>0</xdr:rowOff>
    </xdr:to>
    <xdr:grpSp>
      <xdr:nvGrpSpPr>
        <xdr:cNvPr id="2" name="Group 382594">
          <a:extLst>
            <a:ext uri="{FF2B5EF4-FFF2-40B4-BE49-F238E27FC236}">
              <a16:creationId xmlns:a16="http://schemas.microsoft.com/office/drawing/2014/main" xmlns="" id="{00000000-0008-0000-0200-000002000000}"/>
            </a:ext>
          </a:extLst>
        </xdr:cNvPr>
        <xdr:cNvGrpSpPr/>
      </xdr:nvGrpSpPr>
      <xdr:grpSpPr>
        <a:xfrm>
          <a:off x="0" y="28575"/>
          <a:ext cx="7629525" cy="428625"/>
          <a:chOff x="0" y="0"/>
          <a:chExt cx="5848350" cy="472638"/>
        </a:xfrm>
      </xdr:grpSpPr>
      <xdr:sp macro="" textlink="">
        <xdr:nvSpPr>
          <xdr:cNvPr id="3" name="Rectangle 2">
            <a:extLst>
              <a:ext uri="{FF2B5EF4-FFF2-40B4-BE49-F238E27FC236}">
                <a16:creationId xmlns:a16="http://schemas.microsoft.com/office/drawing/2014/main" xmlns="" id="{00000000-0008-0000-0200-000003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4" name="Rectangle 3">
            <a:extLst>
              <a:ext uri="{FF2B5EF4-FFF2-40B4-BE49-F238E27FC236}">
                <a16:creationId xmlns:a16="http://schemas.microsoft.com/office/drawing/2014/main" xmlns="" id="{00000000-0008-0000-0200-000004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5" name="Shape 508250">
            <a:extLst>
              <a:ext uri="{FF2B5EF4-FFF2-40B4-BE49-F238E27FC236}">
                <a16:creationId xmlns:a16="http://schemas.microsoft.com/office/drawing/2014/main" xmlns="" id="{00000000-0008-0000-0200-000005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251">
            <a:extLst>
              <a:ext uri="{FF2B5EF4-FFF2-40B4-BE49-F238E27FC236}">
                <a16:creationId xmlns:a16="http://schemas.microsoft.com/office/drawing/2014/main" xmlns="" id="{00000000-0008-0000-0200-000006000000}"/>
              </a:ext>
            </a:extLst>
          </xdr:cNvPr>
          <xdr:cNvSpPr/>
        </xdr:nvSpPr>
        <xdr:spPr>
          <a:xfrm>
            <a:off x="76200" y="19054"/>
            <a:ext cx="5772150" cy="317044"/>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19229">
            <a:extLst>
              <a:ext uri="{FF2B5EF4-FFF2-40B4-BE49-F238E27FC236}">
                <a16:creationId xmlns:a16="http://schemas.microsoft.com/office/drawing/2014/main" xmlns="" id="{00000000-0008-0000-0200-000007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xmlns="" id="{00000000-0008-0000-0200-000008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00000000-0008-0000-0200-000009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00000000-0008-0000-0200-00000A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1" name="Rectangle 10">
            <a:extLst>
              <a:ext uri="{FF2B5EF4-FFF2-40B4-BE49-F238E27FC236}">
                <a16:creationId xmlns:a16="http://schemas.microsoft.com/office/drawing/2014/main" xmlns="" id="{00000000-0008-0000-0200-00000B000000}"/>
              </a:ext>
            </a:extLst>
          </xdr:cNvPr>
          <xdr:cNvSpPr/>
        </xdr:nvSpPr>
        <xdr:spPr>
          <a:xfrm>
            <a:off x="1171575" y="85761"/>
            <a:ext cx="4392608" cy="231389"/>
          </a:xfrm>
          <a:prstGeom prst="rect">
            <a:avLst/>
          </a:prstGeom>
          <a:ln>
            <a:noFill/>
          </a:ln>
        </xdr:spPr>
        <xdr:txBody>
          <a:bodyPr lIns="0" tIns="0" rIns="0" bIns="0" rtlCol="0">
            <a:noAutofit/>
          </a:bodyPr>
          <a:lstStyle/>
          <a:p>
            <a:r>
              <a:rPr lang="fr-FR" sz="1400" b="1">
                <a:solidFill>
                  <a:schemeClr val="bg1"/>
                </a:solidFill>
                <a:effectLst/>
                <a:latin typeface="Arial" panose="020B0604020202020204" pitchFamily="34" charset="0"/>
                <a:ea typeface="+mn-ea"/>
                <a:cs typeface="Arial" panose="020B0604020202020204" pitchFamily="34" charset="0"/>
              </a:rPr>
              <a:t>                           FICHE R4</a:t>
            </a:r>
            <a:endParaRPr lang="fr-FR" sz="1400">
              <a:solidFill>
                <a:schemeClr val="bg1"/>
              </a:solidFill>
              <a:effectLst/>
              <a:latin typeface="Arial" panose="020B0604020202020204" pitchFamily="34" charset="0"/>
              <a:ea typeface="+mn-ea"/>
              <a:cs typeface="Arial" panose="020B060402020202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1</xdr:row>
      <xdr:rowOff>0</xdr:rowOff>
    </xdr:from>
    <xdr:to>
      <xdr:col>6</xdr:col>
      <xdr:colOff>952501</xdr:colOff>
      <xdr:row>3</xdr:row>
      <xdr:rowOff>47625</xdr:rowOff>
    </xdr:to>
    <xdr:grpSp>
      <xdr:nvGrpSpPr>
        <xdr:cNvPr id="12" name="Group 381508">
          <a:extLst>
            <a:ext uri="{FF2B5EF4-FFF2-40B4-BE49-F238E27FC236}">
              <a16:creationId xmlns:a16="http://schemas.microsoft.com/office/drawing/2014/main" xmlns="" id="{00000000-0008-0000-0000-00000C000000}"/>
            </a:ext>
          </a:extLst>
        </xdr:cNvPr>
        <xdr:cNvGrpSpPr/>
      </xdr:nvGrpSpPr>
      <xdr:grpSpPr>
        <a:xfrm>
          <a:off x="1" y="180975"/>
          <a:ext cx="7534275" cy="409575"/>
          <a:chOff x="0" y="0"/>
          <a:chExt cx="5848350" cy="428625"/>
        </a:xfrm>
      </xdr:grpSpPr>
      <xdr:sp macro="" textlink="">
        <xdr:nvSpPr>
          <xdr:cNvPr id="13" name="Rectangle 12">
            <a:extLst>
              <a:ext uri="{FF2B5EF4-FFF2-40B4-BE49-F238E27FC236}">
                <a16:creationId xmlns:a16="http://schemas.microsoft.com/office/drawing/2014/main" xmlns="" id="{00000000-0008-0000-0000-00000D000000}"/>
              </a:ext>
            </a:extLst>
          </xdr:cNvPr>
          <xdr:cNvSpPr/>
        </xdr:nvSpPr>
        <xdr:spPr>
          <a:xfrm>
            <a:off x="80315" y="21158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4" name="Shape 508248">
            <a:extLst>
              <a:ext uri="{FF2B5EF4-FFF2-40B4-BE49-F238E27FC236}">
                <a16:creationId xmlns:a16="http://schemas.microsoft.com/office/drawing/2014/main" xmlns="" id="{00000000-0008-0000-0000-00000E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5" name="Shape 508249">
            <a:extLst>
              <a:ext uri="{FF2B5EF4-FFF2-40B4-BE49-F238E27FC236}">
                <a16:creationId xmlns:a16="http://schemas.microsoft.com/office/drawing/2014/main" xmlns="" id="{00000000-0008-0000-0000-00000F000000}"/>
              </a:ext>
            </a:extLst>
          </xdr:cNvPr>
          <xdr:cNvSpPr/>
        </xdr:nvSpPr>
        <xdr:spPr>
          <a:xfrm>
            <a:off x="76200" y="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6" name="Shape 18128">
            <a:extLst>
              <a:ext uri="{FF2B5EF4-FFF2-40B4-BE49-F238E27FC236}">
                <a16:creationId xmlns:a16="http://schemas.microsoft.com/office/drawing/2014/main" xmlns="" id="{00000000-0008-0000-0000-000010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7" name="Rectangle 16">
            <a:extLst>
              <a:ext uri="{FF2B5EF4-FFF2-40B4-BE49-F238E27FC236}">
                <a16:creationId xmlns:a16="http://schemas.microsoft.com/office/drawing/2014/main" xmlns="" id="{00000000-0008-0000-0000-000011000000}"/>
              </a:ext>
            </a:extLst>
          </xdr:cNvPr>
          <xdr:cNvSpPr/>
        </xdr:nvSpPr>
        <xdr:spPr>
          <a:xfrm>
            <a:off x="1430528" y="80508"/>
            <a:ext cx="1147093"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8" name="Rectangle 17">
            <a:extLst>
              <a:ext uri="{FF2B5EF4-FFF2-40B4-BE49-F238E27FC236}">
                <a16:creationId xmlns:a16="http://schemas.microsoft.com/office/drawing/2014/main" xmlns="" id="{00000000-0008-0000-0000-000012000000}"/>
              </a:ext>
            </a:extLst>
          </xdr:cNvPr>
          <xdr:cNvSpPr/>
        </xdr:nvSpPr>
        <xdr:spPr>
          <a:xfrm>
            <a:off x="2291969" y="8050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 name="Rectangle 19">
            <a:extLst>
              <a:ext uri="{FF2B5EF4-FFF2-40B4-BE49-F238E27FC236}">
                <a16:creationId xmlns:a16="http://schemas.microsoft.com/office/drawing/2014/main" xmlns="" id="{00000000-0008-0000-0000-000014000000}"/>
              </a:ext>
            </a:extLst>
          </xdr:cNvPr>
          <xdr:cNvSpPr/>
        </xdr:nvSpPr>
        <xdr:spPr>
          <a:xfrm>
            <a:off x="367018" y="0"/>
            <a:ext cx="5098357" cy="262713"/>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Gill Sans MT" panose="020B0502020104020203" pitchFamily="34" charset="0"/>
                <a:ea typeface="Cambria" panose="02040503050406030204" pitchFamily="18" charset="0"/>
                <a:cs typeface="Cambria" panose="02040503050406030204" pitchFamily="18" charset="0"/>
              </a:rPr>
              <a:t>BILAN (ACTIF)_MODELE 2 (PORTRAIT)</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Rectangle 20">
            <a:extLst>
              <a:ext uri="{FF2B5EF4-FFF2-40B4-BE49-F238E27FC236}">
                <a16:creationId xmlns:a16="http://schemas.microsoft.com/office/drawing/2014/main" xmlns="" id="{00000000-0008-0000-0000-000015000000}"/>
              </a:ext>
            </a:extLst>
          </xdr:cNvPr>
          <xdr:cNvSpPr/>
        </xdr:nvSpPr>
        <xdr:spPr>
          <a:xfrm>
            <a:off x="4494403" y="8050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28575</xdr:rowOff>
    </xdr:from>
    <xdr:to>
      <xdr:col>4</xdr:col>
      <xdr:colOff>876300</xdr:colOff>
      <xdr:row>4</xdr:row>
      <xdr:rowOff>28575</xdr:rowOff>
    </xdr:to>
    <xdr:grpSp>
      <xdr:nvGrpSpPr>
        <xdr:cNvPr id="12" name="Group 382594">
          <a:extLst>
            <a:ext uri="{FF2B5EF4-FFF2-40B4-BE49-F238E27FC236}">
              <a16:creationId xmlns:a16="http://schemas.microsoft.com/office/drawing/2014/main" xmlns="" id="{00000000-0008-0000-0100-00000C000000}"/>
            </a:ext>
          </a:extLst>
        </xdr:cNvPr>
        <xdr:cNvGrpSpPr/>
      </xdr:nvGrpSpPr>
      <xdr:grpSpPr>
        <a:xfrm>
          <a:off x="0" y="409575"/>
          <a:ext cx="6962775" cy="457200"/>
          <a:chOff x="0" y="0"/>
          <a:chExt cx="5848350" cy="472638"/>
        </a:xfrm>
      </xdr:grpSpPr>
      <xdr:sp macro="" textlink="">
        <xdr:nvSpPr>
          <xdr:cNvPr id="13" name="Rectangle 12">
            <a:extLst>
              <a:ext uri="{FF2B5EF4-FFF2-40B4-BE49-F238E27FC236}">
                <a16:creationId xmlns:a16="http://schemas.microsoft.com/office/drawing/2014/main" xmlns="" id="{00000000-0008-0000-0100-00000D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4" name="Rectangle 13">
            <a:extLst>
              <a:ext uri="{FF2B5EF4-FFF2-40B4-BE49-F238E27FC236}">
                <a16:creationId xmlns:a16="http://schemas.microsoft.com/office/drawing/2014/main" xmlns="" id="{00000000-0008-0000-0100-00000E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5" name="Shape 508250">
            <a:extLst>
              <a:ext uri="{FF2B5EF4-FFF2-40B4-BE49-F238E27FC236}">
                <a16:creationId xmlns:a16="http://schemas.microsoft.com/office/drawing/2014/main" xmlns="" id="{00000000-0008-0000-0100-00000F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6" name="Shape 508251">
            <a:extLst>
              <a:ext uri="{FF2B5EF4-FFF2-40B4-BE49-F238E27FC236}">
                <a16:creationId xmlns:a16="http://schemas.microsoft.com/office/drawing/2014/main" xmlns="" id="{00000000-0008-0000-0100-000010000000}"/>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7" name="Shape 19229">
            <a:extLst>
              <a:ext uri="{FF2B5EF4-FFF2-40B4-BE49-F238E27FC236}">
                <a16:creationId xmlns:a16="http://schemas.microsoft.com/office/drawing/2014/main" xmlns="" id="{00000000-0008-0000-0100-000011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8" name="Rectangle 17">
            <a:extLst>
              <a:ext uri="{FF2B5EF4-FFF2-40B4-BE49-F238E27FC236}">
                <a16:creationId xmlns:a16="http://schemas.microsoft.com/office/drawing/2014/main" xmlns="" id="{00000000-0008-0000-0100-000012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9" name="Rectangle 18">
            <a:extLst>
              <a:ext uri="{FF2B5EF4-FFF2-40B4-BE49-F238E27FC236}">
                <a16:creationId xmlns:a16="http://schemas.microsoft.com/office/drawing/2014/main" xmlns="" id="{00000000-0008-0000-0100-000013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 name="Rectangle 19">
            <a:extLst>
              <a:ext uri="{FF2B5EF4-FFF2-40B4-BE49-F238E27FC236}">
                <a16:creationId xmlns:a16="http://schemas.microsoft.com/office/drawing/2014/main" xmlns="" id="{00000000-0008-0000-0100-000014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1" name="Rectangle 20">
            <a:extLst>
              <a:ext uri="{FF2B5EF4-FFF2-40B4-BE49-F238E27FC236}">
                <a16:creationId xmlns:a16="http://schemas.microsoft.com/office/drawing/2014/main" xmlns="" id="{00000000-0008-0000-0100-000015000000}"/>
              </a:ext>
            </a:extLst>
          </xdr:cNvPr>
          <xdr:cNvSpPr/>
        </xdr:nvSpPr>
        <xdr:spPr>
          <a:xfrm>
            <a:off x="1203231" y="40614"/>
            <a:ext cx="4053155"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ITC Avant Garde Gothic Demi" panose="020B0802020202020204" pitchFamily="34" charset="0"/>
                <a:ea typeface="Cambria" panose="02040503050406030204" pitchFamily="18" charset="0"/>
                <a:cs typeface="Cambria" panose="02040503050406030204" pitchFamily="18" charset="0"/>
              </a:rPr>
              <a:t>BILAN (PASSIF)_MODELE 2 (PORTRAIT)</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28575</xdr:rowOff>
    </xdr:from>
    <xdr:to>
      <xdr:col>5</xdr:col>
      <xdr:colOff>1066800</xdr:colOff>
      <xdr:row>2</xdr:row>
      <xdr:rowOff>0</xdr:rowOff>
    </xdr:to>
    <xdr:grpSp>
      <xdr:nvGrpSpPr>
        <xdr:cNvPr id="2" name="Group 382594">
          <a:extLst>
            <a:ext uri="{FF2B5EF4-FFF2-40B4-BE49-F238E27FC236}">
              <a16:creationId xmlns:a16="http://schemas.microsoft.com/office/drawing/2014/main" xmlns="" id="{00000000-0008-0000-0200-000002000000}"/>
            </a:ext>
          </a:extLst>
        </xdr:cNvPr>
        <xdr:cNvGrpSpPr/>
      </xdr:nvGrpSpPr>
      <xdr:grpSpPr>
        <a:xfrm>
          <a:off x="0" y="28575"/>
          <a:ext cx="6934200" cy="428625"/>
          <a:chOff x="0" y="0"/>
          <a:chExt cx="5848350" cy="472638"/>
        </a:xfrm>
      </xdr:grpSpPr>
      <xdr:sp macro="" textlink="">
        <xdr:nvSpPr>
          <xdr:cNvPr id="3" name="Rectangle 2">
            <a:extLst>
              <a:ext uri="{FF2B5EF4-FFF2-40B4-BE49-F238E27FC236}">
                <a16:creationId xmlns:a16="http://schemas.microsoft.com/office/drawing/2014/main" xmlns="" id="{00000000-0008-0000-0200-000003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4" name="Rectangle 3">
            <a:extLst>
              <a:ext uri="{FF2B5EF4-FFF2-40B4-BE49-F238E27FC236}">
                <a16:creationId xmlns:a16="http://schemas.microsoft.com/office/drawing/2014/main" xmlns="" id="{00000000-0008-0000-0200-000004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5" name="Shape 508250">
            <a:extLst>
              <a:ext uri="{FF2B5EF4-FFF2-40B4-BE49-F238E27FC236}">
                <a16:creationId xmlns:a16="http://schemas.microsoft.com/office/drawing/2014/main" xmlns="" id="{00000000-0008-0000-0200-000005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251">
            <a:extLst>
              <a:ext uri="{FF2B5EF4-FFF2-40B4-BE49-F238E27FC236}">
                <a16:creationId xmlns:a16="http://schemas.microsoft.com/office/drawing/2014/main" xmlns="" id="{00000000-0008-0000-0200-000006000000}"/>
              </a:ext>
            </a:extLst>
          </xdr:cNvPr>
          <xdr:cNvSpPr/>
        </xdr:nvSpPr>
        <xdr:spPr>
          <a:xfrm>
            <a:off x="76200" y="19054"/>
            <a:ext cx="5772150" cy="317044"/>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19229">
            <a:extLst>
              <a:ext uri="{FF2B5EF4-FFF2-40B4-BE49-F238E27FC236}">
                <a16:creationId xmlns:a16="http://schemas.microsoft.com/office/drawing/2014/main" xmlns="" id="{00000000-0008-0000-0200-000007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xmlns="" id="{00000000-0008-0000-0200-000008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00000000-0008-0000-0200-000009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00000000-0008-0000-0200-00000A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1" name="Rectangle 10">
            <a:extLst>
              <a:ext uri="{FF2B5EF4-FFF2-40B4-BE49-F238E27FC236}">
                <a16:creationId xmlns:a16="http://schemas.microsoft.com/office/drawing/2014/main" xmlns="" id="{00000000-0008-0000-0200-00000B000000}"/>
              </a:ext>
            </a:extLst>
          </xdr:cNvPr>
          <xdr:cNvSpPr/>
        </xdr:nvSpPr>
        <xdr:spPr>
          <a:xfrm>
            <a:off x="1171575" y="85761"/>
            <a:ext cx="4392608" cy="231389"/>
          </a:xfrm>
          <a:prstGeom prst="rect">
            <a:avLst/>
          </a:prstGeom>
          <a:ln>
            <a:noFill/>
          </a:ln>
        </xdr:spPr>
        <xdr:txBody>
          <a:bodyPr lIns="0" tIns="0" rIns="0" bIns="0" rtlCol="0">
            <a:noAutofit/>
          </a:bodyPr>
          <a:lstStyle/>
          <a:p>
            <a:r>
              <a:rPr lang="fr-FR" sz="1400" b="1">
                <a:solidFill>
                  <a:schemeClr val="bg1"/>
                </a:solidFill>
                <a:effectLst/>
                <a:latin typeface="Arial" panose="020B0604020202020204" pitchFamily="34" charset="0"/>
                <a:ea typeface="+mn-ea"/>
                <a:cs typeface="Arial" panose="020B0604020202020204" pitchFamily="34" charset="0"/>
              </a:rPr>
              <a:t>               COMPTE DE RESULTAT</a:t>
            </a:r>
            <a:endParaRPr lang="fr-FR" sz="1400">
              <a:solidFill>
                <a:schemeClr val="bg1"/>
              </a:solidFill>
              <a:effectLst/>
              <a:latin typeface="Arial" panose="020B0604020202020204" pitchFamily="34" charset="0"/>
              <a:ea typeface="+mn-ea"/>
              <a:cs typeface="Arial" panose="020B0604020202020204"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57150</xdr:rowOff>
    </xdr:from>
    <xdr:to>
      <xdr:col>8</xdr:col>
      <xdr:colOff>809625</xdr:colOff>
      <xdr:row>3</xdr:row>
      <xdr:rowOff>110490</xdr:rowOff>
    </xdr:to>
    <xdr:grpSp>
      <xdr:nvGrpSpPr>
        <xdr:cNvPr id="17" name="Group 382594">
          <a:extLst>
            <a:ext uri="{FF2B5EF4-FFF2-40B4-BE49-F238E27FC236}">
              <a16:creationId xmlns:a16="http://schemas.microsoft.com/office/drawing/2014/main" xmlns="" id="{00000000-0008-0000-0300-000011000000}"/>
            </a:ext>
          </a:extLst>
        </xdr:cNvPr>
        <xdr:cNvGrpSpPr/>
      </xdr:nvGrpSpPr>
      <xdr:grpSpPr>
        <a:xfrm>
          <a:off x="266700" y="247650"/>
          <a:ext cx="7991475" cy="472440"/>
          <a:chOff x="0" y="0"/>
          <a:chExt cx="5848350" cy="472638"/>
        </a:xfrm>
      </xdr:grpSpPr>
      <xdr:sp macro="" textlink="">
        <xdr:nvSpPr>
          <xdr:cNvPr id="18" name="Rectangle 17">
            <a:extLst>
              <a:ext uri="{FF2B5EF4-FFF2-40B4-BE49-F238E27FC236}">
                <a16:creationId xmlns:a16="http://schemas.microsoft.com/office/drawing/2014/main" xmlns="" id="{00000000-0008-0000-0300-000012000000}"/>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9" name="Rectangle 18">
            <a:extLst>
              <a:ext uri="{FF2B5EF4-FFF2-40B4-BE49-F238E27FC236}">
                <a16:creationId xmlns:a16="http://schemas.microsoft.com/office/drawing/2014/main" xmlns="" id="{00000000-0008-0000-0300-00001300000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0" name="Shape 508250">
            <a:extLst>
              <a:ext uri="{FF2B5EF4-FFF2-40B4-BE49-F238E27FC236}">
                <a16:creationId xmlns:a16="http://schemas.microsoft.com/office/drawing/2014/main" xmlns="" id="{00000000-0008-0000-0300-000014000000}"/>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1" name="Shape 508251">
            <a:extLst>
              <a:ext uri="{FF2B5EF4-FFF2-40B4-BE49-F238E27FC236}">
                <a16:creationId xmlns:a16="http://schemas.microsoft.com/office/drawing/2014/main" xmlns="" id="{00000000-0008-0000-0300-000015000000}"/>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22" name="Shape 19229">
            <a:extLst>
              <a:ext uri="{FF2B5EF4-FFF2-40B4-BE49-F238E27FC236}">
                <a16:creationId xmlns:a16="http://schemas.microsoft.com/office/drawing/2014/main" xmlns="" id="{00000000-0008-0000-0300-000016000000}"/>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23" name="Rectangle 22">
            <a:extLst>
              <a:ext uri="{FF2B5EF4-FFF2-40B4-BE49-F238E27FC236}">
                <a16:creationId xmlns:a16="http://schemas.microsoft.com/office/drawing/2014/main" xmlns="" id="{00000000-0008-0000-0300-000017000000}"/>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4" name="Rectangle 23">
            <a:extLst>
              <a:ext uri="{FF2B5EF4-FFF2-40B4-BE49-F238E27FC236}">
                <a16:creationId xmlns:a16="http://schemas.microsoft.com/office/drawing/2014/main" xmlns="" id="{00000000-0008-0000-0300-000018000000}"/>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5" name="Rectangle 24">
            <a:extLst>
              <a:ext uri="{FF2B5EF4-FFF2-40B4-BE49-F238E27FC236}">
                <a16:creationId xmlns:a16="http://schemas.microsoft.com/office/drawing/2014/main" xmlns="" id="{00000000-0008-0000-0300-000019000000}"/>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6" name="Rectangle 25">
            <a:extLst>
              <a:ext uri="{FF2B5EF4-FFF2-40B4-BE49-F238E27FC236}">
                <a16:creationId xmlns:a16="http://schemas.microsoft.com/office/drawing/2014/main" xmlns="" id="{00000000-0008-0000-0300-00001A000000}"/>
              </a:ext>
            </a:extLst>
          </xdr:cNvPr>
          <xdr:cNvSpPr/>
        </xdr:nvSpPr>
        <xdr:spPr>
          <a:xfrm>
            <a:off x="1171575" y="80000"/>
            <a:ext cx="4053155"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Arial" panose="020B0604020202020204" pitchFamily="34" charset="0"/>
                <a:ea typeface="Cambria" panose="02040503050406030204" pitchFamily="18" charset="0"/>
                <a:cs typeface="Arial" panose="020B0604020202020204" pitchFamily="34" charset="0"/>
              </a:rPr>
              <a:t>TABLEAU DES FLUX DE TRESORERIE</a:t>
            </a:r>
            <a:endParaRPr lang="fr-FR" sz="11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95250</xdr:rowOff>
    </xdr:from>
    <xdr:to>
      <xdr:col>5</xdr:col>
      <xdr:colOff>781050</xdr:colOff>
      <xdr:row>3</xdr:row>
      <xdr:rowOff>95250</xdr:rowOff>
    </xdr:to>
    <xdr:grpSp>
      <xdr:nvGrpSpPr>
        <xdr:cNvPr id="25" name="Group 382594">
          <a:extLst>
            <a:ext uri="{FF2B5EF4-FFF2-40B4-BE49-F238E27FC236}">
              <a16:creationId xmlns:a16="http://schemas.microsoft.com/office/drawing/2014/main" xmlns="" id="{12606310-F3D7-4A29-9FC6-2EEF4D7BAC55}"/>
            </a:ext>
          </a:extLst>
        </xdr:cNvPr>
        <xdr:cNvGrpSpPr/>
      </xdr:nvGrpSpPr>
      <xdr:grpSpPr>
        <a:xfrm>
          <a:off x="0" y="95250"/>
          <a:ext cx="7210425" cy="371475"/>
          <a:chOff x="0" y="-39389"/>
          <a:chExt cx="5848350" cy="512027"/>
        </a:xfrm>
      </xdr:grpSpPr>
      <xdr:sp macro="" textlink="">
        <xdr:nvSpPr>
          <xdr:cNvPr id="26" name="Rectangle 25">
            <a:extLst>
              <a:ext uri="{FF2B5EF4-FFF2-40B4-BE49-F238E27FC236}">
                <a16:creationId xmlns:a16="http://schemas.microsoft.com/office/drawing/2014/main" xmlns="" id="{C0391FBF-7B9C-499F-BFBF-D7735838712B}"/>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7" name="Rectangle 26">
            <a:extLst>
              <a:ext uri="{FF2B5EF4-FFF2-40B4-BE49-F238E27FC236}">
                <a16:creationId xmlns:a16="http://schemas.microsoft.com/office/drawing/2014/main" xmlns="" id="{13CE3B08-3035-4947-B3CE-E4007739214A}"/>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8" name="Shape 508250">
            <a:extLst>
              <a:ext uri="{FF2B5EF4-FFF2-40B4-BE49-F238E27FC236}">
                <a16:creationId xmlns:a16="http://schemas.microsoft.com/office/drawing/2014/main" xmlns="" id="{3BCDC0C7-69B0-419F-AA61-70D88F14184A}"/>
              </a:ext>
            </a:extLst>
          </xdr:cNvPr>
          <xdr:cNvSpPr/>
        </xdr:nvSpPr>
        <xdr:spPr>
          <a:xfrm>
            <a:off x="0" y="76200"/>
            <a:ext cx="5772150" cy="306636"/>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9" name="Shape 508251">
            <a:extLst>
              <a:ext uri="{FF2B5EF4-FFF2-40B4-BE49-F238E27FC236}">
                <a16:creationId xmlns:a16="http://schemas.microsoft.com/office/drawing/2014/main" xmlns="" id="{CFEC6139-36C2-4171-BE81-D5D20FEB12F2}"/>
              </a:ext>
            </a:extLst>
          </xdr:cNvPr>
          <xdr:cNvSpPr/>
        </xdr:nvSpPr>
        <xdr:spPr>
          <a:xfrm>
            <a:off x="76200" y="19054"/>
            <a:ext cx="5772150" cy="26925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30" name="Shape 19229">
            <a:extLst>
              <a:ext uri="{FF2B5EF4-FFF2-40B4-BE49-F238E27FC236}">
                <a16:creationId xmlns:a16="http://schemas.microsoft.com/office/drawing/2014/main" xmlns="" id="{E22C967C-E54D-4D8D-B147-78BEA0A86968}"/>
              </a:ext>
            </a:extLst>
          </xdr:cNvPr>
          <xdr:cNvSpPr/>
        </xdr:nvSpPr>
        <xdr:spPr>
          <a:xfrm>
            <a:off x="76200" y="0"/>
            <a:ext cx="5772150" cy="311941"/>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31" name="Rectangle 30">
            <a:extLst>
              <a:ext uri="{FF2B5EF4-FFF2-40B4-BE49-F238E27FC236}">
                <a16:creationId xmlns:a16="http://schemas.microsoft.com/office/drawing/2014/main" xmlns="" id="{9ABB6A6C-C49D-4D88-8196-544DF373211D}"/>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2" name="Rectangle 31">
            <a:extLst>
              <a:ext uri="{FF2B5EF4-FFF2-40B4-BE49-F238E27FC236}">
                <a16:creationId xmlns:a16="http://schemas.microsoft.com/office/drawing/2014/main" xmlns="" id="{422235C3-A937-4482-AC7C-D8ECA2125B69}"/>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3" name="Rectangle 32">
            <a:extLst>
              <a:ext uri="{FF2B5EF4-FFF2-40B4-BE49-F238E27FC236}">
                <a16:creationId xmlns:a16="http://schemas.microsoft.com/office/drawing/2014/main" xmlns="" id="{FE7C05CA-1A85-4AC5-A557-1905BE8D54AA}"/>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34" name="Rectangle 33">
            <a:extLst>
              <a:ext uri="{FF2B5EF4-FFF2-40B4-BE49-F238E27FC236}">
                <a16:creationId xmlns:a16="http://schemas.microsoft.com/office/drawing/2014/main" xmlns="" id="{7B6BF3A9-4A77-4EBA-97CB-45549D37D9E7}"/>
              </a:ext>
            </a:extLst>
          </xdr:cNvPr>
          <xdr:cNvSpPr/>
        </xdr:nvSpPr>
        <xdr:spPr>
          <a:xfrm>
            <a:off x="161458" y="-39389"/>
            <a:ext cx="5480585" cy="485770"/>
          </a:xfrm>
          <a:prstGeom prst="rect">
            <a:avLst/>
          </a:prstGeom>
          <a:ln>
            <a:noFill/>
          </a:ln>
        </xdr:spPr>
        <xdr:txBody>
          <a:bodyPr lIns="0" tIns="0" rIns="0" bIns="0" rtlCol="0">
            <a:noAutofit/>
          </a:bodyPr>
          <a:lstStyle/>
          <a:p>
            <a:pPr algn="ctr">
              <a:lnSpc>
                <a:spcPct val="115000"/>
              </a:lnSpc>
              <a:spcAft>
                <a:spcPts val="0"/>
              </a:spcAft>
            </a:pPr>
            <a:r>
              <a:rPr lang="fr-FR" sz="1500" b="1">
                <a:solidFill>
                  <a:srgbClr val="FFFFFF"/>
                </a:solidFill>
                <a:effectLst/>
                <a:latin typeface="Arial" panose="020B0604020202020204" pitchFamily="34" charset="0"/>
                <a:ea typeface="Calibri" panose="020F0502020204030204" pitchFamily="34" charset="0"/>
                <a:cs typeface="Arial" panose="020B0604020202020204" pitchFamily="34" charset="0"/>
              </a:rPr>
              <a:t>NOTE</a:t>
            </a:r>
            <a:r>
              <a:rPr lang="fr-FR" sz="1500" b="1" baseline="0">
                <a:solidFill>
                  <a:srgbClr val="FFFFFF"/>
                </a:solidFill>
                <a:effectLst/>
                <a:latin typeface="Arial" panose="020B0604020202020204" pitchFamily="34" charset="0"/>
                <a:ea typeface="Calibri" panose="020F0502020204030204" pitchFamily="34" charset="0"/>
                <a:cs typeface="Arial" panose="020B0604020202020204" pitchFamily="34" charset="0"/>
              </a:rPr>
              <a:t> 1 : DETTES GARANTIES PAR DES SURETES REELLES</a:t>
            </a:r>
            <a:endParaRPr lang="fr-FR" sz="15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123826</xdr:colOff>
      <xdr:row>1</xdr:row>
      <xdr:rowOff>123825</xdr:rowOff>
    </xdr:from>
    <xdr:to>
      <xdr:col>5</xdr:col>
      <xdr:colOff>809626</xdr:colOff>
      <xdr:row>3</xdr:row>
      <xdr:rowOff>133350</xdr:rowOff>
    </xdr:to>
    <xdr:grpSp>
      <xdr:nvGrpSpPr>
        <xdr:cNvPr id="2" name="Group 392908">
          <a:extLst>
            <a:ext uri="{FF2B5EF4-FFF2-40B4-BE49-F238E27FC236}">
              <a16:creationId xmlns:a16="http://schemas.microsoft.com/office/drawing/2014/main" xmlns="" id="{00000000-0008-0000-0A00-000002000000}"/>
            </a:ext>
          </a:extLst>
        </xdr:cNvPr>
        <xdr:cNvGrpSpPr/>
      </xdr:nvGrpSpPr>
      <xdr:grpSpPr>
        <a:xfrm>
          <a:off x="378414" y="305261"/>
          <a:ext cx="6655549" cy="413866"/>
          <a:chOff x="0" y="0"/>
          <a:chExt cx="5848351" cy="428625"/>
        </a:xfrm>
      </xdr:grpSpPr>
      <xdr:sp macro="" textlink="">
        <xdr:nvSpPr>
          <xdr:cNvPr id="3" name="Rectangle 2">
            <a:extLst>
              <a:ext uri="{FF2B5EF4-FFF2-40B4-BE49-F238E27FC236}">
                <a16:creationId xmlns:a16="http://schemas.microsoft.com/office/drawing/2014/main" xmlns="" id="{00000000-0008-0000-0A00-000003000000}"/>
              </a:ext>
            </a:extLst>
          </xdr:cNvPr>
          <xdr:cNvSpPr/>
        </xdr:nvSpPr>
        <xdr:spPr>
          <a:xfrm>
            <a:off x="100635" y="20015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4" name="Shape 508285">
            <a:extLst>
              <a:ext uri="{FF2B5EF4-FFF2-40B4-BE49-F238E27FC236}">
                <a16:creationId xmlns:a16="http://schemas.microsoft.com/office/drawing/2014/main" xmlns="" id="{00000000-0008-0000-0A00-000004000000}"/>
              </a:ext>
            </a:extLst>
          </xdr:cNvPr>
          <xdr:cNvSpPr/>
        </xdr:nvSpPr>
        <xdr:spPr>
          <a:xfrm>
            <a:off x="0" y="76200"/>
            <a:ext cx="5772151" cy="352425"/>
          </a:xfrm>
          <a:custGeom>
            <a:avLst/>
            <a:gdLst/>
            <a:ahLst/>
            <a:cxnLst/>
            <a:rect l="0" t="0" r="0" b="0"/>
            <a:pathLst>
              <a:path w="5772151" h="352425">
                <a:moveTo>
                  <a:pt x="0" y="0"/>
                </a:moveTo>
                <a:lnTo>
                  <a:pt x="5772151" y="0"/>
                </a:lnTo>
                <a:lnTo>
                  <a:pt x="5772151"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286">
            <a:extLst>
              <a:ext uri="{FF2B5EF4-FFF2-40B4-BE49-F238E27FC236}">
                <a16:creationId xmlns:a16="http://schemas.microsoft.com/office/drawing/2014/main" xmlns="" id="{00000000-0008-0000-0A00-000005000000}"/>
              </a:ext>
            </a:extLst>
          </xdr:cNvPr>
          <xdr:cNvSpPr/>
        </xdr:nvSpPr>
        <xdr:spPr>
          <a:xfrm>
            <a:off x="76200" y="0"/>
            <a:ext cx="5772151" cy="352425"/>
          </a:xfrm>
          <a:custGeom>
            <a:avLst/>
            <a:gdLst/>
            <a:ahLst/>
            <a:cxnLst/>
            <a:rect l="0" t="0" r="0" b="0"/>
            <a:pathLst>
              <a:path w="5772151" h="352425">
                <a:moveTo>
                  <a:pt x="0" y="0"/>
                </a:moveTo>
                <a:lnTo>
                  <a:pt x="5772151" y="0"/>
                </a:lnTo>
                <a:lnTo>
                  <a:pt x="5772151"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1309">
            <a:extLst>
              <a:ext uri="{FF2B5EF4-FFF2-40B4-BE49-F238E27FC236}">
                <a16:creationId xmlns:a16="http://schemas.microsoft.com/office/drawing/2014/main" xmlns="" id="{00000000-0008-0000-0A00-000006000000}"/>
              </a:ext>
            </a:extLst>
          </xdr:cNvPr>
          <xdr:cNvSpPr/>
        </xdr:nvSpPr>
        <xdr:spPr>
          <a:xfrm>
            <a:off x="76200" y="0"/>
            <a:ext cx="5772151" cy="352425"/>
          </a:xfrm>
          <a:custGeom>
            <a:avLst/>
            <a:gdLst/>
            <a:ahLst/>
            <a:cxnLst/>
            <a:rect l="0" t="0" r="0" b="0"/>
            <a:pathLst>
              <a:path w="5772151" h="352425">
                <a:moveTo>
                  <a:pt x="0" y="352425"/>
                </a:moveTo>
                <a:lnTo>
                  <a:pt x="5772151" y="352425"/>
                </a:lnTo>
                <a:lnTo>
                  <a:pt x="5772151"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00000000-0008-0000-0A00-000007000000}"/>
              </a:ext>
            </a:extLst>
          </xdr:cNvPr>
          <xdr:cNvSpPr/>
        </xdr:nvSpPr>
        <xdr:spPr>
          <a:xfrm>
            <a:off x="1306068" y="79746"/>
            <a:ext cx="807020"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00000000-0008-0000-0A00-000008000000}"/>
              </a:ext>
            </a:extLst>
          </xdr:cNvPr>
          <xdr:cNvSpPr/>
        </xdr:nvSpPr>
        <xdr:spPr>
          <a:xfrm>
            <a:off x="1913001"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00000000-0008-0000-0A00-000009000000}"/>
              </a:ext>
            </a:extLst>
          </xdr:cNvPr>
          <xdr:cNvSpPr/>
        </xdr:nvSpPr>
        <xdr:spPr>
          <a:xfrm>
            <a:off x="1951101" y="79746"/>
            <a:ext cx="66402"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00000000-0008-0000-0A00-00000A000000}"/>
              </a:ext>
            </a:extLst>
          </xdr:cNvPr>
          <xdr:cNvSpPr/>
        </xdr:nvSpPr>
        <xdr:spPr>
          <a:xfrm>
            <a:off x="2001393"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xmlns="" id="{00000000-0008-0000-0A00-00000B000000}"/>
              </a:ext>
            </a:extLst>
          </xdr:cNvPr>
          <xdr:cNvSpPr/>
        </xdr:nvSpPr>
        <xdr:spPr>
          <a:xfrm>
            <a:off x="2041017" y="79746"/>
            <a:ext cx="3431081"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INFORMATIONS OBLIGATOIRES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00000000-0008-0000-0A00-00000C000000}"/>
              </a:ext>
            </a:extLst>
          </xdr:cNvPr>
          <xdr:cNvSpPr/>
        </xdr:nvSpPr>
        <xdr:spPr>
          <a:xfrm>
            <a:off x="4619879"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28575</xdr:colOff>
      <xdr:row>0</xdr:row>
      <xdr:rowOff>95250</xdr:rowOff>
    </xdr:from>
    <xdr:to>
      <xdr:col>7</xdr:col>
      <xdr:colOff>857250</xdr:colOff>
      <xdr:row>3</xdr:row>
      <xdr:rowOff>57150</xdr:rowOff>
    </xdr:to>
    <xdr:grpSp>
      <xdr:nvGrpSpPr>
        <xdr:cNvPr id="2" name="Group 394340">
          <a:extLst>
            <a:ext uri="{FF2B5EF4-FFF2-40B4-BE49-F238E27FC236}">
              <a16:creationId xmlns:a16="http://schemas.microsoft.com/office/drawing/2014/main" xmlns="" id="{AC91F4CE-A5B7-4FAF-8868-E9F9575D0A2F}"/>
            </a:ext>
          </a:extLst>
        </xdr:cNvPr>
        <xdr:cNvGrpSpPr/>
      </xdr:nvGrpSpPr>
      <xdr:grpSpPr>
        <a:xfrm>
          <a:off x="28575" y="95250"/>
          <a:ext cx="11220450" cy="419100"/>
          <a:chOff x="0" y="0"/>
          <a:chExt cx="5848350" cy="314325"/>
        </a:xfrm>
      </xdr:grpSpPr>
      <xdr:sp macro="" textlink="">
        <xdr:nvSpPr>
          <xdr:cNvPr id="3" name="Shape 508287">
            <a:extLst>
              <a:ext uri="{FF2B5EF4-FFF2-40B4-BE49-F238E27FC236}">
                <a16:creationId xmlns:a16="http://schemas.microsoft.com/office/drawing/2014/main" xmlns="" id="{040CF3C6-45E6-4C4E-81E4-02019CBA4CAA}"/>
              </a:ext>
            </a:extLst>
          </xdr:cNvPr>
          <xdr:cNvSpPr/>
        </xdr:nvSpPr>
        <xdr:spPr>
          <a:xfrm>
            <a:off x="0" y="76200"/>
            <a:ext cx="5772150" cy="238125"/>
          </a:xfrm>
          <a:custGeom>
            <a:avLst/>
            <a:gdLst/>
            <a:ahLst/>
            <a:cxnLst/>
            <a:rect l="0" t="0" r="0" b="0"/>
            <a:pathLst>
              <a:path w="5772150" h="238125">
                <a:moveTo>
                  <a:pt x="0" y="0"/>
                </a:moveTo>
                <a:lnTo>
                  <a:pt x="5772150" y="0"/>
                </a:lnTo>
                <a:lnTo>
                  <a:pt x="5772150" y="238125"/>
                </a:lnTo>
                <a:lnTo>
                  <a:pt x="0" y="2381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288">
            <a:extLst>
              <a:ext uri="{FF2B5EF4-FFF2-40B4-BE49-F238E27FC236}">
                <a16:creationId xmlns:a16="http://schemas.microsoft.com/office/drawing/2014/main" xmlns="" id="{C13FEC84-0EB9-4FC2-8414-8108CFDBA34D}"/>
              </a:ext>
            </a:extLst>
          </xdr:cNvPr>
          <xdr:cNvSpPr/>
        </xdr:nvSpPr>
        <xdr:spPr>
          <a:xfrm>
            <a:off x="76200" y="0"/>
            <a:ext cx="5772150" cy="238125"/>
          </a:xfrm>
          <a:custGeom>
            <a:avLst/>
            <a:gdLst/>
            <a:ahLst/>
            <a:cxnLst/>
            <a:rect l="0" t="0" r="0" b="0"/>
            <a:pathLst>
              <a:path w="5772150" h="238125">
                <a:moveTo>
                  <a:pt x="0" y="0"/>
                </a:moveTo>
                <a:lnTo>
                  <a:pt x="5772150" y="0"/>
                </a:lnTo>
                <a:lnTo>
                  <a:pt x="5772150" y="238125"/>
                </a:lnTo>
                <a:lnTo>
                  <a:pt x="0" y="2381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32702">
            <a:extLst>
              <a:ext uri="{FF2B5EF4-FFF2-40B4-BE49-F238E27FC236}">
                <a16:creationId xmlns:a16="http://schemas.microsoft.com/office/drawing/2014/main" xmlns="" id="{33B5461E-2381-48D3-8C06-CAE77D60A133}"/>
              </a:ext>
            </a:extLst>
          </xdr:cNvPr>
          <xdr:cNvSpPr/>
        </xdr:nvSpPr>
        <xdr:spPr>
          <a:xfrm>
            <a:off x="76200" y="0"/>
            <a:ext cx="5772150" cy="238125"/>
          </a:xfrm>
          <a:custGeom>
            <a:avLst/>
            <a:gdLst/>
            <a:ahLst/>
            <a:cxnLst/>
            <a:rect l="0" t="0" r="0" b="0"/>
            <a:pathLst>
              <a:path w="5772150" h="238125">
                <a:moveTo>
                  <a:pt x="0" y="238125"/>
                </a:moveTo>
                <a:lnTo>
                  <a:pt x="5772150" y="2381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xmlns="" id="{3B010CA5-0EF0-4774-905D-0D3713F4E7D3}"/>
              </a:ext>
            </a:extLst>
          </xdr:cNvPr>
          <xdr:cNvSpPr/>
        </xdr:nvSpPr>
        <xdr:spPr>
          <a:xfrm>
            <a:off x="2092584" y="81981"/>
            <a:ext cx="753925"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3A</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xmlns="" id="{14A1E57C-14BA-4A2A-A517-493E12E671D5}"/>
              </a:ext>
            </a:extLst>
          </xdr:cNvPr>
          <xdr:cNvSpPr/>
        </xdr:nvSpPr>
        <xdr:spPr>
          <a:xfrm>
            <a:off x="2386457" y="74837"/>
            <a:ext cx="41025"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BB496AB4-2514-4DBF-88B5-B248876A75B1}"/>
              </a:ext>
            </a:extLst>
          </xdr:cNvPr>
          <xdr:cNvSpPr/>
        </xdr:nvSpPr>
        <xdr:spPr>
          <a:xfrm>
            <a:off x="2416937" y="74837"/>
            <a:ext cx="52213"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3BEEEAEE-9203-4AE6-BD84-7BC86C22A194}"/>
              </a:ext>
            </a:extLst>
          </xdr:cNvPr>
          <xdr:cNvSpPr/>
        </xdr:nvSpPr>
        <xdr:spPr>
          <a:xfrm>
            <a:off x="2456195" y="74837"/>
            <a:ext cx="2198001"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 IMMOBILISATION BRUTE</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F48A86AA-BB73-41B9-8104-0F5A53BA6F3A}"/>
              </a:ext>
            </a:extLst>
          </xdr:cNvPr>
          <xdr:cNvSpPr/>
        </xdr:nvSpPr>
        <xdr:spPr>
          <a:xfrm>
            <a:off x="4107307" y="74837"/>
            <a:ext cx="41024" cy="186477"/>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twoCellAnchor>
    <xdr:from>
      <xdr:col>0</xdr:col>
      <xdr:colOff>0</xdr:colOff>
      <xdr:row>10</xdr:row>
      <xdr:rowOff>19050</xdr:rowOff>
    </xdr:from>
    <xdr:to>
      <xdr:col>1</xdr:col>
      <xdr:colOff>0</xdr:colOff>
      <xdr:row>14</xdr:row>
      <xdr:rowOff>19050</xdr:rowOff>
    </xdr:to>
    <xdr:cxnSp macro="">
      <xdr:nvCxnSpPr>
        <xdr:cNvPr id="14" name="Connecteur droit 13">
          <a:extLst>
            <a:ext uri="{FF2B5EF4-FFF2-40B4-BE49-F238E27FC236}">
              <a16:creationId xmlns:a16="http://schemas.microsoft.com/office/drawing/2014/main" xmlns="" id="{FE0A371A-B242-4D75-A878-A3A66DDE2372}"/>
            </a:ext>
          </a:extLst>
        </xdr:cNvPr>
        <xdr:cNvCxnSpPr/>
      </xdr:nvCxnSpPr>
      <xdr:spPr>
        <a:xfrm>
          <a:off x="0" y="2028825"/>
          <a:ext cx="3200400" cy="771525"/>
        </a:xfrm>
        <a:prstGeom prst="line">
          <a:avLst/>
        </a:prstGeom>
        <a:ln w="0"/>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114300</xdr:rowOff>
    </xdr:from>
    <xdr:to>
      <xdr:col>8</xdr:col>
      <xdr:colOff>611793</xdr:colOff>
      <xdr:row>3</xdr:row>
      <xdr:rowOff>0</xdr:rowOff>
    </xdr:to>
    <xdr:grpSp>
      <xdr:nvGrpSpPr>
        <xdr:cNvPr id="4" name="Group 395480">
          <a:extLst>
            <a:ext uri="{FF2B5EF4-FFF2-40B4-BE49-F238E27FC236}">
              <a16:creationId xmlns:a16="http://schemas.microsoft.com/office/drawing/2014/main" xmlns="" id="{198E1D4A-D18A-4652-9F1D-32325346C62D}"/>
            </a:ext>
          </a:extLst>
        </xdr:cNvPr>
        <xdr:cNvGrpSpPr/>
      </xdr:nvGrpSpPr>
      <xdr:grpSpPr>
        <a:xfrm>
          <a:off x="0" y="114300"/>
          <a:ext cx="8984268" cy="342900"/>
          <a:chOff x="0" y="0"/>
          <a:chExt cx="6377272" cy="428625"/>
        </a:xfrm>
      </xdr:grpSpPr>
      <xdr:sp macro="" textlink="">
        <xdr:nvSpPr>
          <xdr:cNvPr id="5" name="Shape 508289">
            <a:extLst>
              <a:ext uri="{FF2B5EF4-FFF2-40B4-BE49-F238E27FC236}">
                <a16:creationId xmlns:a16="http://schemas.microsoft.com/office/drawing/2014/main" xmlns="" id="{CB33618C-C3CC-49FA-B7E7-8D6C680B80BB}"/>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290">
            <a:extLst>
              <a:ext uri="{FF2B5EF4-FFF2-40B4-BE49-F238E27FC236}">
                <a16:creationId xmlns:a16="http://schemas.microsoft.com/office/drawing/2014/main" xmlns="" id="{3D90C521-E12C-4271-AA60-0EBA0672CB31}"/>
              </a:ext>
            </a:extLst>
          </xdr:cNvPr>
          <xdr:cNvSpPr/>
        </xdr:nvSpPr>
        <xdr:spPr>
          <a:xfrm>
            <a:off x="76200" y="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34006">
            <a:extLst>
              <a:ext uri="{FF2B5EF4-FFF2-40B4-BE49-F238E27FC236}">
                <a16:creationId xmlns:a16="http://schemas.microsoft.com/office/drawing/2014/main" xmlns="" id="{048DCA17-2737-4F12-B1F1-95AC31C00CA1}"/>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xmlns="" id="{2AF6EC97-59F9-4033-B422-716F1B379B13}"/>
              </a:ext>
            </a:extLst>
          </xdr:cNvPr>
          <xdr:cNvSpPr/>
        </xdr:nvSpPr>
        <xdr:spPr>
          <a:xfrm>
            <a:off x="1452277" y="44535"/>
            <a:ext cx="961405"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3B</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9542F497-F02B-48A4-9C73-3460A0147176}"/>
              </a:ext>
            </a:extLst>
          </xdr:cNvPr>
          <xdr:cNvSpPr/>
        </xdr:nvSpPr>
        <xdr:spPr>
          <a:xfrm>
            <a:off x="1654048" y="80254"/>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42F51C94-82D6-4FFA-9BAB-A69B4171FC69}"/>
              </a:ext>
            </a:extLst>
          </xdr:cNvPr>
          <xdr:cNvSpPr/>
        </xdr:nvSpPr>
        <xdr:spPr>
          <a:xfrm>
            <a:off x="1996398" y="8816"/>
            <a:ext cx="66402"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xmlns="" id="{BD600425-7B12-4ECF-8CF7-10589E72FF17}"/>
              </a:ext>
            </a:extLst>
          </xdr:cNvPr>
          <xdr:cNvSpPr/>
        </xdr:nvSpPr>
        <xdr:spPr>
          <a:xfrm>
            <a:off x="2053085" y="20723"/>
            <a:ext cx="4324187"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BIENS PRIS EN LOCATION ACQUISITION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9DCE1E97-0292-4CCA-970A-E5ADEC59BF17}"/>
              </a:ext>
            </a:extLst>
          </xdr:cNvPr>
          <xdr:cNvSpPr/>
        </xdr:nvSpPr>
        <xdr:spPr>
          <a:xfrm>
            <a:off x="4992243" y="11379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twoCellAnchor>
    <xdr:from>
      <xdr:col>0</xdr:col>
      <xdr:colOff>0</xdr:colOff>
      <xdr:row>8</xdr:row>
      <xdr:rowOff>419100</xdr:rowOff>
    </xdr:from>
    <xdr:to>
      <xdr:col>0</xdr:col>
      <xdr:colOff>2962275</xdr:colOff>
      <xdr:row>19</xdr:row>
      <xdr:rowOff>9525</xdr:rowOff>
    </xdr:to>
    <xdr:cxnSp macro="">
      <xdr:nvCxnSpPr>
        <xdr:cNvPr id="14" name="Connecteur droit 13">
          <a:extLst>
            <a:ext uri="{FF2B5EF4-FFF2-40B4-BE49-F238E27FC236}">
              <a16:creationId xmlns:a16="http://schemas.microsoft.com/office/drawing/2014/main" xmlns="" id="{00166987-8E57-4E1E-A847-6E7D3D0E58F3}"/>
            </a:ext>
          </a:extLst>
        </xdr:cNvPr>
        <xdr:cNvCxnSpPr/>
      </xdr:nvCxnSpPr>
      <xdr:spPr>
        <a:xfrm>
          <a:off x="0" y="1885950"/>
          <a:ext cx="2962275" cy="127635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390525</xdr:colOff>
      <xdr:row>1</xdr:row>
      <xdr:rowOff>47625</xdr:rowOff>
    </xdr:from>
    <xdr:to>
      <xdr:col>4</xdr:col>
      <xdr:colOff>1095375</xdr:colOff>
      <xdr:row>3</xdr:row>
      <xdr:rowOff>57150</xdr:rowOff>
    </xdr:to>
    <xdr:sp macro="" textlink="">
      <xdr:nvSpPr>
        <xdr:cNvPr id="9222" name="Zone de texte 5">
          <a:extLst>
            <a:ext uri="{FF2B5EF4-FFF2-40B4-BE49-F238E27FC236}">
              <a16:creationId xmlns:a16="http://schemas.microsoft.com/office/drawing/2014/main" xmlns="" id="{1D1D7112-6999-402A-B7A7-89076102D19C}"/>
            </a:ext>
          </a:extLst>
        </xdr:cNvPr>
        <xdr:cNvSpPr txBox="1">
          <a:spLocks noChangeArrowheads="1"/>
        </xdr:cNvSpPr>
      </xdr:nvSpPr>
      <xdr:spPr bwMode="auto">
        <a:xfrm>
          <a:off x="390525" y="200025"/>
          <a:ext cx="8391525" cy="31432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400" b="1" i="0" u="none" strike="noStrike" baseline="0">
              <a:solidFill>
                <a:srgbClr val="FFFFFF"/>
              </a:solidFill>
              <a:latin typeface="Cambria"/>
            </a:rPr>
            <a:t>                                                           NOTE 3C : IMMOBILISATIONS (AMORTISSEMENTS)</a:t>
          </a:r>
        </a:p>
      </xdr:txBody>
    </xdr:sp>
    <xdr:clientData/>
  </xdr:twoCellAnchor>
  <xdr:twoCellAnchor>
    <xdr:from>
      <xdr:col>0</xdr:col>
      <xdr:colOff>38100</xdr:colOff>
      <xdr:row>10</xdr:row>
      <xdr:rowOff>9525</xdr:rowOff>
    </xdr:from>
    <xdr:to>
      <xdr:col>0</xdr:col>
      <xdr:colOff>2838450</xdr:colOff>
      <xdr:row>13</xdr:row>
      <xdr:rowOff>609600</xdr:rowOff>
    </xdr:to>
    <xdr:cxnSp macro="">
      <xdr:nvCxnSpPr>
        <xdr:cNvPr id="21" name="Connecteur droit 20">
          <a:extLst>
            <a:ext uri="{FF2B5EF4-FFF2-40B4-BE49-F238E27FC236}">
              <a16:creationId xmlns:a16="http://schemas.microsoft.com/office/drawing/2014/main" xmlns="" id="{F6BB662F-B9C8-459C-8C90-AD90E7A7373D}"/>
            </a:ext>
          </a:extLst>
        </xdr:cNvPr>
        <xdr:cNvCxnSpPr/>
      </xdr:nvCxnSpPr>
      <xdr:spPr>
        <a:xfrm>
          <a:off x="38100" y="1447800"/>
          <a:ext cx="2800350" cy="105727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0</xdr:row>
      <xdr:rowOff>0</xdr:rowOff>
    </xdr:from>
    <xdr:to>
      <xdr:col>6</xdr:col>
      <xdr:colOff>514350</xdr:colOff>
      <xdr:row>3</xdr:row>
      <xdr:rowOff>66675</xdr:rowOff>
    </xdr:to>
    <xdr:grpSp>
      <xdr:nvGrpSpPr>
        <xdr:cNvPr id="16" name="Group 382594">
          <a:extLst>
            <a:ext uri="{FF2B5EF4-FFF2-40B4-BE49-F238E27FC236}">
              <a16:creationId xmlns:a16="http://schemas.microsoft.com/office/drawing/2014/main" xmlns="" id="{4AEBCE19-F924-4458-AA39-0722492EE6E5}"/>
            </a:ext>
          </a:extLst>
        </xdr:cNvPr>
        <xdr:cNvGrpSpPr/>
      </xdr:nvGrpSpPr>
      <xdr:grpSpPr>
        <a:xfrm>
          <a:off x="190500" y="0"/>
          <a:ext cx="6543675" cy="523875"/>
          <a:chOff x="0" y="0"/>
          <a:chExt cx="5848350" cy="472638"/>
        </a:xfrm>
      </xdr:grpSpPr>
      <xdr:sp macro="" textlink="">
        <xdr:nvSpPr>
          <xdr:cNvPr id="17" name="Rectangle 16">
            <a:extLst>
              <a:ext uri="{FF2B5EF4-FFF2-40B4-BE49-F238E27FC236}">
                <a16:creationId xmlns:a16="http://schemas.microsoft.com/office/drawing/2014/main" xmlns="" id="{40C5E37C-A79C-4F5E-9D8A-8A11E897DED6}"/>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8" name="Rectangle 17">
            <a:extLst>
              <a:ext uri="{FF2B5EF4-FFF2-40B4-BE49-F238E27FC236}">
                <a16:creationId xmlns:a16="http://schemas.microsoft.com/office/drawing/2014/main" xmlns="" id="{9998FD93-AE31-4F79-8C98-2D79DA10C2C0}"/>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19" name="Shape 508250">
            <a:extLst>
              <a:ext uri="{FF2B5EF4-FFF2-40B4-BE49-F238E27FC236}">
                <a16:creationId xmlns:a16="http://schemas.microsoft.com/office/drawing/2014/main" xmlns="" id="{FD67D865-B601-4DE7-BEA4-72696544BA62}"/>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0" name="Shape 508251">
            <a:extLst>
              <a:ext uri="{FF2B5EF4-FFF2-40B4-BE49-F238E27FC236}">
                <a16:creationId xmlns:a16="http://schemas.microsoft.com/office/drawing/2014/main" xmlns="" id="{BFED8EB7-C23A-49D2-878C-C854D857A36D}"/>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21" name="Shape 19229">
            <a:extLst>
              <a:ext uri="{FF2B5EF4-FFF2-40B4-BE49-F238E27FC236}">
                <a16:creationId xmlns:a16="http://schemas.microsoft.com/office/drawing/2014/main" xmlns="" id="{0C00C11F-59CE-46B4-9D36-55BE1E814508}"/>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22" name="Rectangle 21">
            <a:extLst>
              <a:ext uri="{FF2B5EF4-FFF2-40B4-BE49-F238E27FC236}">
                <a16:creationId xmlns:a16="http://schemas.microsoft.com/office/drawing/2014/main" xmlns="" id="{B9E80756-D527-43EA-ABFA-A3800C23CD75}"/>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3" name="Rectangle 22">
            <a:extLst>
              <a:ext uri="{FF2B5EF4-FFF2-40B4-BE49-F238E27FC236}">
                <a16:creationId xmlns:a16="http://schemas.microsoft.com/office/drawing/2014/main" xmlns="" id="{086D04FA-B0E0-4FE3-81BD-6E6B4FD44E8E}"/>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4" name="Rectangle 23">
            <a:extLst>
              <a:ext uri="{FF2B5EF4-FFF2-40B4-BE49-F238E27FC236}">
                <a16:creationId xmlns:a16="http://schemas.microsoft.com/office/drawing/2014/main" xmlns="" id="{8AA9C684-D9C4-4F9C-A111-E85A58EB5322}"/>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5" name="Rectangle 24">
            <a:extLst>
              <a:ext uri="{FF2B5EF4-FFF2-40B4-BE49-F238E27FC236}">
                <a16:creationId xmlns:a16="http://schemas.microsoft.com/office/drawing/2014/main" xmlns="" id="{314DC977-EFF1-4D95-99ED-1319D34E3293}"/>
              </a:ext>
            </a:extLst>
          </xdr:cNvPr>
          <xdr:cNvSpPr/>
        </xdr:nvSpPr>
        <xdr:spPr>
          <a:xfrm>
            <a:off x="268274" y="80000"/>
            <a:ext cx="5419112" cy="237150"/>
          </a:xfrm>
          <a:prstGeom prst="rect">
            <a:avLst/>
          </a:prstGeom>
          <a:ln>
            <a:noFill/>
          </a:ln>
        </xdr:spPr>
        <xdr:txBody>
          <a:bodyPr lIns="0" tIns="0" rIns="0" bIns="0" rtlCol="0">
            <a:noAutofit/>
          </a:bodyPr>
          <a:lstStyle/>
          <a:p>
            <a:pPr algn="ctr">
              <a:lnSpc>
                <a:spcPct val="115000"/>
              </a:lnSpc>
              <a:spcAft>
                <a:spcPts val="0"/>
              </a:spcAft>
            </a:pPr>
            <a:r>
              <a:rPr lang="fr-FR" sz="1200" b="1">
                <a:solidFill>
                  <a:srgbClr val="FFFFFF"/>
                </a:solidFill>
                <a:effectLst/>
                <a:latin typeface="Arial" panose="020B0604020202020204" pitchFamily="34" charset="0"/>
                <a:ea typeface="Cambria" panose="02040503050406030204" pitchFamily="18" charset="0"/>
                <a:cs typeface="Arial" panose="020B0604020202020204" pitchFamily="34" charset="0"/>
              </a:rPr>
              <a:t>NOTE 3D : IMMOBILISATIONS (PLUS-VALUES ET MOINS VALUE</a:t>
            </a:r>
            <a:r>
              <a:rPr lang="fr-FR" sz="1200" b="1" baseline="0">
                <a:solidFill>
                  <a:srgbClr val="FFFFFF"/>
                </a:solidFill>
                <a:effectLst/>
                <a:latin typeface="Arial" panose="020B0604020202020204" pitchFamily="34" charset="0"/>
                <a:ea typeface="Cambria" panose="02040503050406030204" pitchFamily="18" charset="0"/>
                <a:cs typeface="Arial" panose="020B0604020202020204" pitchFamily="34" charset="0"/>
              </a:rPr>
              <a:t> DE CESSION)</a:t>
            </a:r>
            <a:endParaRPr lang="fr-FR" sz="12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xdr:colOff>
      <xdr:row>0</xdr:row>
      <xdr:rowOff>152399</xdr:rowOff>
    </xdr:from>
    <xdr:to>
      <xdr:col>2</xdr:col>
      <xdr:colOff>1781175</xdr:colOff>
      <xdr:row>4</xdr:row>
      <xdr:rowOff>123825</xdr:rowOff>
    </xdr:to>
    <xdr:grpSp>
      <xdr:nvGrpSpPr>
        <xdr:cNvPr id="20" name="Group 382594">
          <a:extLst>
            <a:ext uri="{FF2B5EF4-FFF2-40B4-BE49-F238E27FC236}">
              <a16:creationId xmlns:a16="http://schemas.microsoft.com/office/drawing/2014/main" xmlns="" id="{A41B531B-091C-4C23-B834-160D027A913B}"/>
            </a:ext>
          </a:extLst>
        </xdr:cNvPr>
        <xdr:cNvGrpSpPr/>
      </xdr:nvGrpSpPr>
      <xdr:grpSpPr>
        <a:xfrm>
          <a:off x="1" y="152399"/>
          <a:ext cx="9496424" cy="581026"/>
          <a:chOff x="0" y="0"/>
          <a:chExt cx="5848350" cy="472638"/>
        </a:xfrm>
      </xdr:grpSpPr>
      <xdr:sp macro="" textlink="">
        <xdr:nvSpPr>
          <xdr:cNvPr id="21" name="Rectangle 20">
            <a:extLst>
              <a:ext uri="{FF2B5EF4-FFF2-40B4-BE49-F238E27FC236}">
                <a16:creationId xmlns:a16="http://schemas.microsoft.com/office/drawing/2014/main" xmlns="" id="{837A8299-8D49-4459-AD4F-959DF59563AC}"/>
              </a:ext>
            </a:extLst>
          </xdr:cNvPr>
          <xdr:cNvSpPr/>
        </xdr:nvSpPr>
        <xdr:spPr>
          <a:xfrm>
            <a:off x="158420" y="2285"/>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2" name="Rectangle 21">
            <a:extLst>
              <a:ext uri="{FF2B5EF4-FFF2-40B4-BE49-F238E27FC236}">
                <a16:creationId xmlns:a16="http://schemas.microsoft.com/office/drawing/2014/main" xmlns="" id="{32B7CC4A-9D7C-428F-9588-317793E5BE67}"/>
              </a:ext>
            </a:extLst>
          </xdr:cNvPr>
          <xdr:cNvSpPr/>
        </xdr:nvSpPr>
        <xdr:spPr>
          <a:xfrm>
            <a:off x="158420" y="282701"/>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3" name="Shape 508250">
            <a:extLst>
              <a:ext uri="{FF2B5EF4-FFF2-40B4-BE49-F238E27FC236}">
                <a16:creationId xmlns:a16="http://schemas.microsoft.com/office/drawing/2014/main" xmlns="" id="{B3C02188-E123-4C9D-AAC7-794184271C59}"/>
              </a:ext>
            </a:extLst>
          </xdr:cNvPr>
          <xdr:cNvSpPr/>
        </xdr:nvSpPr>
        <xdr:spPr>
          <a:xfrm>
            <a:off x="0" y="76200"/>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24" name="Shape 508251">
            <a:extLst>
              <a:ext uri="{FF2B5EF4-FFF2-40B4-BE49-F238E27FC236}">
                <a16:creationId xmlns:a16="http://schemas.microsoft.com/office/drawing/2014/main" xmlns="" id="{F3D3B33E-FE0F-44D2-BA11-FBE3ACC5206A}"/>
              </a:ext>
            </a:extLst>
          </xdr:cNvPr>
          <xdr:cNvSpPr/>
        </xdr:nvSpPr>
        <xdr:spPr>
          <a:xfrm>
            <a:off x="76200" y="19054"/>
            <a:ext cx="5772150" cy="352425"/>
          </a:xfrm>
          <a:custGeom>
            <a:avLst/>
            <a:gdLst/>
            <a:ahLst/>
            <a:cxnLst/>
            <a:rect l="0" t="0" r="0" b="0"/>
            <a:pathLst>
              <a:path w="5772150" h="352425">
                <a:moveTo>
                  <a:pt x="0" y="0"/>
                </a:moveTo>
                <a:lnTo>
                  <a:pt x="5772150" y="0"/>
                </a:lnTo>
                <a:lnTo>
                  <a:pt x="5772150" y="352425"/>
                </a:lnTo>
                <a:lnTo>
                  <a:pt x="0" y="35242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25" name="Shape 19229">
            <a:extLst>
              <a:ext uri="{FF2B5EF4-FFF2-40B4-BE49-F238E27FC236}">
                <a16:creationId xmlns:a16="http://schemas.microsoft.com/office/drawing/2014/main" xmlns="" id="{1D476640-0CB2-4E90-BB67-368993224AF1}"/>
              </a:ext>
            </a:extLst>
          </xdr:cNvPr>
          <xdr:cNvSpPr/>
        </xdr:nvSpPr>
        <xdr:spPr>
          <a:xfrm>
            <a:off x="76200" y="0"/>
            <a:ext cx="5772150" cy="352425"/>
          </a:xfrm>
          <a:custGeom>
            <a:avLst/>
            <a:gdLst/>
            <a:ahLst/>
            <a:cxnLst/>
            <a:rect l="0" t="0" r="0" b="0"/>
            <a:pathLst>
              <a:path w="5772150" h="352425">
                <a:moveTo>
                  <a:pt x="0" y="352425"/>
                </a:moveTo>
                <a:lnTo>
                  <a:pt x="5772150" y="35242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26" name="Rectangle 25">
            <a:extLst>
              <a:ext uri="{FF2B5EF4-FFF2-40B4-BE49-F238E27FC236}">
                <a16:creationId xmlns:a16="http://schemas.microsoft.com/office/drawing/2014/main" xmlns="" id="{943E6222-6B52-4B62-A045-37498C09783B}"/>
              </a:ext>
            </a:extLst>
          </xdr:cNvPr>
          <xdr:cNvSpPr/>
        </xdr:nvSpPr>
        <xdr:spPr>
          <a:xfrm>
            <a:off x="2110994"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7" name="Rectangle 26">
            <a:extLst>
              <a:ext uri="{FF2B5EF4-FFF2-40B4-BE49-F238E27FC236}">
                <a16:creationId xmlns:a16="http://schemas.microsoft.com/office/drawing/2014/main" xmlns="" id="{6C391981-184E-49BB-8F16-53F3A8D408D4}"/>
              </a:ext>
            </a:extLst>
          </xdr:cNvPr>
          <xdr:cNvSpPr/>
        </xdr:nvSpPr>
        <xdr:spPr>
          <a:xfrm>
            <a:off x="2254250" y="80000"/>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8" name="Rectangle 27">
            <a:extLst>
              <a:ext uri="{FF2B5EF4-FFF2-40B4-BE49-F238E27FC236}">
                <a16:creationId xmlns:a16="http://schemas.microsoft.com/office/drawing/2014/main" xmlns="" id="{4F9CA129-13D4-4C2C-B2EA-A7506BF3DFC7}"/>
              </a:ext>
            </a:extLst>
          </xdr:cNvPr>
          <xdr:cNvSpPr/>
        </xdr:nvSpPr>
        <xdr:spPr>
          <a:xfrm>
            <a:off x="2293874" y="80000"/>
            <a:ext cx="66402" cy="237150"/>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cs typeface="Calibri" panose="020F0502020204030204" pitchFamily="34" charset="0"/>
              </a:rPr>
              <a:t> </a:t>
            </a:r>
          </a:p>
        </xdr:txBody>
      </xdr:sp>
      <xdr:sp macro="" textlink="">
        <xdr:nvSpPr>
          <xdr:cNvPr id="29" name="Rectangle 28">
            <a:extLst>
              <a:ext uri="{FF2B5EF4-FFF2-40B4-BE49-F238E27FC236}">
                <a16:creationId xmlns:a16="http://schemas.microsoft.com/office/drawing/2014/main" xmlns="" id="{B3D00214-AADA-4D1A-83EB-F93C3798FB99}"/>
              </a:ext>
            </a:extLst>
          </xdr:cNvPr>
          <xdr:cNvSpPr/>
        </xdr:nvSpPr>
        <xdr:spPr>
          <a:xfrm>
            <a:off x="87944" y="80000"/>
            <a:ext cx="5599441" cy="237150"/>
          </a:xfrm>
          <a:prstGeom prst="rect">
            <a:avLst/>
          </a:prstGeom>
          <a:ln>
            <a:noFill/>
          </a:ln>
        </xdr:spPr>
        <xdr:txBody>
          <a:bodyPr lIns="0" tIns="0" rIns="0" bIns="0" rtlCol="0">
            <a:noAutofit/>
          </a:bodyPr>
          <a:lstStyle/>
          <a:p>
            <a:pPr algn="ctr">
              <a:lnSpc>
                <a:spcPct val="115000"/>
              </a:lnSpc>
              <a:spcAft>
                <a:spcPts val="0"/>
              </a:spcAft>
            </a:pPr>
            <a:r>
              <a:rPr lang="fr-FR" sz="1400" b="1">
                <a:solidFill>
                  <a:srgbClr val="FFFFFF"/>
                </a:solidFill>
                <a:effectLst/>
                <a:latin typeface="Arial" panose="020B0604020202020204" pitchFamily="34" charset="0"/>
                <a:ea typeface="Cambria" panose="02040503050406030204" pitchFamily="18" charset="0"/>
                <a:cs typeface="Arial" panose="020B0604020202020204" pitchFamily="34" charset="0"/>
              </a:rPr>
              <a:t>NOTE 3E : </a:t>
            </a:r>
            <a:r>
              <a:rPr lang="fr-FR" sz="1200" b="1">
                <a:solidFill>
                  <a:srgbClr val="FFFFFF"/>
                </a:solidFill>
                <a:effectLst/>
                <a:latin typeface="Arial" panose="020B0604020202020204" pitchFamily="34" charset="0"/>
                <a:ea typeface="Cambria" panose="02040503050406030204" pitchFamily="18" charset="0"/>
                <a:cs typeface="Arial" panose="020B0604020202020204" pitchFamily="34" charset="0"/>
              </a:rPr>
              <a:t>INFORMATIONS SUR LES REEVALUATIONS EFFECTUER PAR L'ENTITE</a:t>
            </a:r>
            <a:endParaRPr lang="fr-FR" sz="1200">
              <a:solidFill>
                <a:srgbClr val="000000"/>
              </a:solidFill>
              <a:effectLst/>
              <a:latin typeface="Arial" panose="020B0604020202020204" pitchFamily="34" charset="0"/>
              <a:ea typeface="Calibri" panose="020F0502020204030204" pitchFamily="34" charset="0"/>
              <a:cs typeface="Arial" panose="020B0604020202020204" pitchFamily="34" charset="0"/>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xdr:colOff>
      <xdr:row>1</xdr:row>
      <xdr:rowOff>0</xdr:rowOff>
    </xdr:from>
    <xdr:to>
      <xdr:col>6</xdr:col>
      <xdr:colOff>828675</xdr:colOff>
      <xdr:row>3</xdr:row>
      <xdr:rowOff>104775</xdr:rowOff>
    </xdr:to>
    <xdr:grpSp>
      <xdr:nvGrpSpPr>
        <xdr:cNvPr id="11" name="Group 397787">
          <a:extLst>
            <a:ext uri="{FF2B5EF4-FFF2-40B4-BE49-F238E27FC236}">
              <a16:creationId xmlns:a16="http://schemas.microsoft.com/office/drawing/2014/main" xmlns="" id="{73F88B09-6D95-4321-9582-66164662E8CE}"/>
            </a:ext>
          </a:extLst>
        </xdr:cNvPr>
        <xdr:cNvGrpSpPr/>
      </xdr:nvGrpSpPr>
      <xdr:grpSpPr>
        <a:xfrm>
          <a:off x="1" y="190500"/>
          <a:ext cx="7515224" cy="485775"/>
          <a:chOff x="0" y="0"/>
          <a:chExt cx="5848350" cy="384175"/>
        </a:xfrm>
      </xdr:grpSpPr>
      <xdr:sp macro="" textlink="">
        <xdr:nvSpPr>
          <xdr:cNvPr id="12" name="Rectangle 11">
            <a:extLst>
              <a:ext uri="{FF2B5EF4-FFF2-40B4-BE49-F238E27FC236}">
                <a16:creationId xmlns:a16="http://schemas.microsoft.com/office/drawing/2014/main" xmlns="" id="{453DDE6F-0E7E-4189-86FF-0ABE00AEB13D}"/>
              </a:ext>
            </a:extLst>
          </xdr:cNvPr>
          <xdr:cNvSpPr/>
        </xdr:nvSpPr>
        <xdr:spPr>
          <a:xfrm>
            <a:off x="5720080" y="64897"/>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13" name="Shape 508298">
            <a:extLst>
              <a:ext uri="{FF2B5EF4-FFF2-40B4-BE49-F238E27FC236}">
                <a16:creationId xmlns:a16="http://schemas.microsoft.com/office/drawing/2014/main" xmlns="" id="{49EF2B99-6006-4E9E-829D-E569AA04E135}"/>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4" name="Shape 508299">
            <a:extLst>
              <a:ext uri="{FF2B5EF4-FFF2-40B4-BE49-F238E27FC236}">
                <a16:creationId xmlns:a16="http://schemas.microsoft.com/office/drawing/2014/main" xmlns="" id="{BBAD77E1-E0F4-4E2B-B6D2-276EE63EF1E8}"/>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5" name="Shape 37500">
            <a:extLst>
              <a:ext uri="{FF2B5EF4-FFF2-40B4-BE49-F238E27FC236}">
                <a16:creationId xmlns:a16="http://schemas.microsoft.com/office/drawing/2014/main" xmlns="" id="{B8FEE33F-E487-45E9-9475-FA6379267759}"/>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6" name="Rectangle 15">
            <a:extLst>
              <a:ext uri="{FF2B5EF4-FFF2-40B4-BE49-F238E27FC236}">
                <a16:creationId xmlns:a16="http://schemas.microsoft.com/office/drawing/2014/main" xmlns="" id="{74596921-875C-4923-832A-1749D33DA765}"/>
              </a:ext>
            </a:extLst>
          </xdr:cNvPr>
          <xdr:cNvSpPr/>
        </xdr:nvSpPr>
        <xdr:spPr>
          <a:xfrm>
            <a:off x="1276604" y="80381"/>
            <a:ext cx="923461"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4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7" name="Rectangle 16">
            <a:extLst>
              <a:ext uri="{FF2B5EF4-FFF2-40B4-BE49-F238E27FC236}">
                <a16:creationId xmlns:a16="http://schemas.microsoft.com/office/drawing/2014/main" xmlns="" id="{06C4CF0A-8A90-4C32-A32A-1C29A8944BBC}"/>
              </a:ext>
            </a:extLst>
          </xdr:cNvPr>
          <xdr:cNvSpPr/>
        </xdr:nvSpPr>
        <xdr:spPr>
          <a:xfrm>
            <a:off x="1871759" y="95447"/>
            <a:ext cx="2105415"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IMMOBILISATIONS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8" name="Rectangle 17">
            <a:extLst>
              <a:ext uri="{FF2B5EF4-FFF2-40B4-BE49-F238E27FC236}">
                <a16:creationId xmlns:a16="http://schemas.microsoft.com/office/drawing/2014/main" xmlns="" id="{E74651DC-A792-495F-92E8-7E04D4E2A67F}"/>
              </a:ext>
            </a:extLst>
          </xdr:cNvPr>
          <xdr:cNvSpPr/>
        </xdr:nvSpPr>
        <xdr:spPr>
          <a:xfrm>
            <a:off x="3190009" y="105460"/>
            <a:ext cx="1491566" cy="219604"/>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FINANCIERES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9" name="Rectangle 18">
            <a:extLst>
              <a:ext uri="{FF2B5EF4-FFF2-40B4-BE49-F238E27FC236}">
                <a16:creationId xmlns:a16="http://schemas.microsoft.com/office/drawing/2014/main" xmlns="" id="{A004338B-BA37-4D91-A113-B5157350820F}"/>
              </a:ext>
            </a:extLst>
          </xdr:cNvPr>
          <xdr:cNvSpPr/>
        </xdr:nvSpPr>
        <xdr:spPr>
          <a:xfrm>
            <a:off x="4649851" y="113919"/>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xdr:colOff>
      <xdr:row>0</xdr:row>
      <xdr:rowOff>19050</xdr:rowOff>
    </xdr:from>
    <xdr:to>
      <xdr:col>4</xdr:col>
      <xdr:colOff>819150</xdr:colOff>
      <xdr:row>4</xdr:row>
      <xdr:rowOff>19050</xdr:rowOff>
    </xdr:to>
    <xdr:grpSp>
      <xdr:nvGrpSpPr>
        <xdr:cNvPr id="2" name="Group 398290">
          <a:extLst>
            <a:ext uri="{FF2B5EF4-FFF2-40B4-BE49-F238E27FC236}">
              <a16:creationId xmlns:a16="http://schemas.microsoft.com/office/drawing/2014/main" xmlns="" id="{B5221DF2-329E-4F27-9CD3-A229FA601C5A}"/>
            </a:ext>
          </a:extLst>
        </xdr:cNvPr>
        <xdr:cNvGrpSpPr/>
      </xdr:nvGrpSpPr>
      <xdr:grpSpPr>
        <a:xfrm>
          <a:off x="1" y="19050"/>
          <a:ext cx="6476999" cy="609600"/>
          <a:chOff x="0" y="0"/>
          <a:chExt cx="5848350" cy="384175"/>
        </a:xfrm>
      </xdr:grpSpPr>
      <xdr:sp macro="" textlink="">
        <xdr:nvSpPr>
          <xdr:cNvPr id="3" name="Rectangle 2">
            <a:extLst>
              <a:ext uri="{FF2B5EF4-FFF2-40B4-BE49-F238E27FC236}">
                <a16:creationId xmlns:a16="http://schemas.microsoft.com/office/drawing/2014/main" xmlns="" id="{A3895BC7-D512-44E5-BE11-277F5E9D8C71}"/>
              </a:ext>
            </a:extLst>
          </xdr:cNvPr>
          <xdr:cNvSpPr/>
        </xdr:nvSpPr>
        <xdr:spPr>
          <a:xfrm>
            <a:off x="16815" y="18872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4" name="Shape 508300">
            <a:extLst>
              <a:ext uri="{FF2B5EF4-FFF2-40B4-BE49-F238E27FC236}">
                <a16:creationId xmlns:a16="http://schemas.microsoft.com/office/drawing/2014/main" xmlns="" id="{2C3F4FAD-3585-4E57-823E-BF105E8DB03F}"/>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1">
            <a:extLst>
              <a:ext uri="{FF2B5EF4-FFF2-40B4-BE49-F238E27FC236}">
                <a16:creationId xmlns:a16="http://schemas.microsoft.com/office/drawing/2014/main" xmlns="" id="{77D30597-C433-4742-A21A-88CAD558CC7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8085">
            <a:extLst>
              <a:ext uri="{FF2B5EF4-FFF2-40B4-BE49-F238E27FC236}">
                <a16:creationId xmlns:a16="http://schemas.microsoft.com/office/drawing/2014/main" xmlns="" id="{8C4849FC-171B-48DE-AC69-66B4DC556ABE}"/>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5DAD30E8-0B68-4D86-968D-C09D00C18F06}"/>
              </a:ext>
            </a:extLst>
          </xdr:cNvPr>
          <xdr:cNvSpPr/>
        </xdr:nvSpPr>
        <xdr:spPr>
          <a:xfrm>
            <a:off x="1670685" y="80508"/>
            <a:ext cx="923461"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5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C9A0628B-1E24-488C-9F2B-A74D8FB019E1}"/>
              </a:ext>
            </a:extLst>
          </xdr:cNvPr>
          <xdr:cNvSpPr/>
        </xdr:nvSpPr>
        <xdr:spPr>
          <a:xfrm>
            <a:off x="2331227" y="80508"/>
            <a:ext cx="2514498"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ACTIF CIRCULANT HAO</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14E5C7CE-FA82-44AE-AACB-10D5547AC4CA}"/>
              </a:ext>
            </a:extLst>
          </xdr:cNvPr>
          <xdr:cNvSpPr/>
        </xdr:nvSpPr>
        <xdr:spPr>
          <a:xfrm>
            <a:off x="4255643" y="114046"/>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123824</xdr:rowOff>
    </xdr:from>
    <xdr:to>
      <xdr:col>3</xdr:col>
      <xdr:colOff>647700</xdr:colOff>
      <xdr:row>4</xdr:row>
      <xdr:rowOff>0</xdr:rowOff>
    </xdr:to>
    <xdr:grpSp>
      <xdr:nvGrpSpPr>
        <xdr:cNvPr id="2" name="Group 398763">
          <a:extLst>
            <a:ext uri="{FF2B5EF4-FFF2-40B4-BE49-F238E27FC236}">
              <a16:creationId xmlns:a16="http://schemas.microsoft.com/office/drawing/2014/main" xmlns="" id="{2CDB5AC2-A7DC-48E6-A0CD-B604045DAB8C}"/>
            </a:ext>
          </a:extLst>
        </xdr:cNvPr>
        <xdr:cNvGrpSpPr/>
      </xdr:nvGrpSpPr>
      <xdr:grpSpPr>
        <a:xfrm>
          <a:off x="0" y="123824"/>
          <a:ext cx="6962775" cy="485776"/>
          <a:chOff x="0" y="0"/>
          <a:chExt cx="5848350" cy="429586"/>
        </a:xfrm>
      </xdr:grpSpPr>
      <xdr:sp macro="" textlink="">
        <xdr:nvSpPr>
          <xdr:cNvPr id="3" name="Rectangle 2">
            <a:extLst>
              <a:ext uri="{FF2B5EF4-FFF2-40B4-BE49-F238E27FC236}">
                <a16:creationId xmlns:a16="http://schemas.microsoft.com/office/drawing/2014/main" xmlns="" id="{24D45A1A-7B46-4ADD-8D7D-FB241FF4FBCC}"/>
              </a:ext>
            </a:extLst>
          </xdr:cNvPr>
          <xdr:cNvSpPr/>
        </xdr:nvSpPr>
        <xdr:spPr>
          <a:xfrm>
            <a:off x="67615" y="239649"/>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4" name="Shape 508302">
            <a:extLst>
              <a:ext uri="{FF2B5EF4-FFF2-40B4-BE49-F238E27FC236}">
                <a16:creationId xmlns:a16="http://schemas.microsoft.com/office/drawing/2014/main" xmlns="" id="{F1A1C1CD-BEFE-4009-A2A3-70D78DED92FB}"/>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3">
            <a:extLst>
              <a:ext uri="{FF2B5EF4-FFF2-40B4-BE49-F238E27FC236}">
                <a16:creationId xmlns:a16="http://schemas.microsoft.com/office/drawing/2014/main" xmlns="" id="{88375A66-705A-4304-ACF2-D9000B794B69}"/>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8572">
            <a:extLst>
              <a:ext uri="{FF2B5EF4-FFF2-40B4-BE49-F238E27FC236}">
                <a16:creationId xmlns:a16="http://schemas.microsoft.com/office/drawing/2014/main" xmlns="" id="{DCC61C19-1EA4-4144-A00E-932B8E62E6FF}"/>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7CF97CF0-F962-4AE4-BBC0-3249520BD044}"/>
              </a:ext>
            </a:extLst>
          </xdr:cNvPr>
          <xdr:cNvSpPr/>
        </xdr:nvSpPr>
        <xdr:spPr>
          <a:xfrm>
            <a:off x="1718437" y="79619"/>
            <a:ext cx="97563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6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CE099683-D552-4415-8ED3-32246711632D}"/>
              </a:ext>
            </a:extLst>
          </xdr:cNvPr>
          <xdr:cNvSpPr/>
        </xdr:nvSpPr>
        <xdr:spPr>
          <a:xfrm>
            <a:off x="2453005" y="79619"/>
            <a:ext cx="154479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STOCKS ET EN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482AB3C7-DE72-455F-96CD-73EC0784B0FB}"/>
              </a:ext>
            </a:extLst>
          </xdr:cNvPr>
          <xdr:cNvSpPr/>
        </xdr:nvSpPr>
        <xdr:spPr>
          <a:xfrm>
            <a:off x="3614547" y="79619"/>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38003FB5-6025-4D98-A41D-0A737C90CFB4}"/>
              </a:ext>
            </a:extLst>
          </xdr:cNvPr>
          <xdr:cNvSpPr/>
        </xdr:nvSpPr>
        <xdr:spPr>
          <a:xfrm>
            <a:off x="3528154" y="80742"/>
            <a:ext cx="734135" cy="23301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COURS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xmlns="" id="{10D3FC4B-E39C-43BB-B380-8E929C519DE1}"/>
              </a:ext>
            </a:extLst>
          </xdr:cNvPr>
          <xdr:cNvSpPr/>
        </xdr:nvSpPr>
        <xdr:spPr>
          <a:xfrm>
            <a:off x="4207383" y="113157"/>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133351</xdr:colOff>
      <xdr:row>0</xdr:row>
      <xdr:rowOff>64802</xdr:rowOff>
    </xdr:from>
    <xdr:to>
      <xdr:col>6</xdr:col>
      <xdr:colOff>685800</xdr:colOff>
      <xdr:row>2</xdr:row>
      <xdr:rowOff>70485</xdr:rowOff>
    </xdr:to>
    <xdr:grpSp>
      <xdr:nvGrpSpPr>
        <xdr:cNvPr id="2" name="Group 399847">
          <a:extLst>
            <a:ext uri="{FF2B5EF4-FFF2-40B4-BE49-F238E27FC236}">
              <a16:creationId xmlns:a16="http://schemas.microsoft.com/office/drawing/2014/main" xmlns="" id="{EF63499A-D2AC-428F-8804-838C2AF3B10F}"/>
            </a:ext>
          </a:extLst>
        </xdr:cNvPr>
        <xdr:cNvGrpSpPr/>
      </xdr:nvGrpSpPr>
      <xdr:grpSpPr>
        <a:xfrm>
          <a:off x="133351" y="64802"/>
          <a:ext cx="8191499" cy="310483"/>
          <a:chOff x="0" y="-2339"/>
          <a:chExt cx="5848350" cy="387683"/>
        </a:xfrm>
      </xdr:grpSpPr>
      <xdr:sp macro="" textlink="">
        <xdr:nvSpPr>
          <xdr:cNvPr id="3" name="Rectangle 2">
            <a:extLst>
              <a:ext uri="{FF2B5EF4-FFF2-40B4-BE49-F238E27FC236}">
                <a16:creationId xmlns:a16="http://schemas.microsoft.com/office/drawing/2014/main" xmlns="" id="{3B97E33D-80CF-4A7A-BB9F-9C87DB0047B7}"/>
              </a:ext>
            </a:extLst>
          </xdr:cNvPr>
          <xdr:cNvSpPr/>
        </xdr:nvSpPr>
        <xdr:spPr>
          <a:xfrm>
            <a:off x="53645" y="0"/>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04">
            <a:extLst>
              <a:ext uri="{FF2B5EF4-FFF2-40B4-BE49-F238E27FC236}">
                <a16:creationId xmlns:a16="http://schemas.microsoft.com/office/drawing/2014/main" xmlns="" id="{9C3F8412-EE5B-4C2A-BCE4-2C7CC902224E}"/>
              </a:ext>
            </a:extLst>
          </xdr:cNvPr>
          <xdr:cNvSpPr/>
        </xdr:nvSpPr>
        <xdr:spPr>
          <a:xfrm>
            <a:off x="0" y="77369"/>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5">
            <a:extLst>
              <a:ext uri="{FF2B5EF4-FFF2-40B4-BE49-F238E27FC236}">
                <a16:creationId xmlns:a16="http://schemas.microsoft.com/office/drawing/2014/main" xmlns="" id="{5E56A309-D523-458A-AD22-1A00F396D1DF}"/>
              </a:ext>
            </a:extLst>
          </xdr:cNvPr>
          <xdr:cNvSpPr/>
        </xdr:nvSpPr>
        <xdr:spPr>
          <a:xfrm>
            <a:off x="76200" y="1169"/>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39545">
            <a:extLst>
              <a:ext uri="{FF2B5EF4-FFF2-40B4-BE49-F238E27FC236}">
                <a16:creationId xmlns:a16="http://schemas.microsoft.com/office/drawing/2014/main" xmlns="" id="{29DF1917-348F-4D2A-9C02-BCB7C82C17F7}"/>
              </a:ext>
            </a:extLst>
          </xdr:cNvPr>
          <xdr:cNvSpPr/>
        </xdr:nvSpPr>
        <xdr:spPr>
          <a:xfrm>
            <a:off x="76200" y="1169"/>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5DFD9909-52AA-4A01-B81E-9469FB9FE845}"/>
              </a:ext>
            </a:extLst>
          </xdr:cNvPr>
          <xdr:cNvSpPr/>
        </xdr:nvSpPr>
        <xdr:spPr>
          <a:xfrm>
            <a:off x="2243406" y="-2339"/>
            <a:ext cx="97563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7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F6F2DB4F-3254-4176-BF74-CAF87EABC89C}"/>
              </a:ext>
            </a:extLst>
          </xdr:cNvPr>
          <xdr:cNvSpPr/>
        </xdr:nvSpPr>
        <xdr:spPr>
          <a:xfrm>
            <a:off x="2735324" y="-2339"/>
            <a:ext cx="917769"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CLIENTS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83A81C3F-FF66-4D38-9F65-BD1B377A46A9}"/>
              </a:ext>
            </a:extLst>
          </xdr:cNvPr>
          <xdr:cNvSpPr/>
        </xdr:nvSpPr>
        <xdr:spPr>
          <a:xfrm>
            <a:off x="3673729" y="114453"/>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123825</xdr:colOff>
      <xdr:row>0</xdr:row>
      <xdr:rowOff>76199</xdr:rowOff>
    </xdr:from>
    <xdr:to>
      <xdr:col>6</xdr:col>
      <xdr:colOff>561975</xdr:colOff>
      <xdr:row>4</xdr:row>
      <xdr:rowOff>0</xdr:rowOff>
    </xdr:to>
    <xdr:grpSp>
      <xdr:nvGrpSpPr>
        <xdr:cNvPr id="2" name="Group 400734">
          <a:extLst>
            <a:ext uri="{FF2B5EF4-FFF2-40B4-BE49-F238E27FC236}">
              <a16:creationId xmlns:a16="http://schemas.microsoft.com/office/drawing/2014/main" xmlns="" id="{5D9EC1A1-3727-43A3-8B20-AD8DCAFA7D1C}"/>
            </a:ext>
          </a:extLst>
        </xdr:cNvPr>
        <xdr:cNvGrpSpPr/>
      </xdr:nvGrpSpPr>
      <xdr:grpSpPr>
        <a:xfrm>
          <a:off x="123825" y="76199"/>
          <a:ext cx="9191625" cy="533401"/>
          <a:chOff x="0" y="0"/>
          <a:chExt cx="5848350" cy="384175"/>
        </a:xfrm>
      </xdr:grpSpPr>
      <xdr:sp macro="" textlink="">
        <xdr:nvSpPr>
          <xdr:cNvPr id="3" name="Rectangle 2">
            <a:extLst>
              <a:ext uri="{FF2B5EF4-FFF2-40B4-BE49-F238E27FC236}">
                <a16:creationId xmlns:a16="http://schemas.microsoft.com/office/drawing/2014/main" xmlns="" id="{AAD21062-763A-49D8-BAEB-B88859E40300}"/>
              </a:ext>
            </a:extLst>
          </xdr:cNvPr>
          <xdr:cNvSpPr/>
        </xdr:nvSpPr>
        <xdr:spPr>
          <a:xfrm>
            <a:off x="196520" y="68428"/>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06">
            <a:extLst>
              <a:ext uri="{FF2B5EF4-FFF2-40B4-BE49-F238E27FC236}">
                <a16:creationId xmlns:a16="http://schemas.microsoft.com/office/drawing/2014/main" xmlns="" id="{1060B7C9-2317-4CB9-B563-7DF305B9C766}"/>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07">
            <a:extLst>
              <a:ext uri="{FF2B5EF4-FFF2-40B4-BE49-F238E27FC236}">
                <a16:creationId xmlns:a16="http://schemas.microsoft.com/office/drawing/2014/main" xmlns="" id="{3486B380-75A8-4713-9741-7C68B4962E95}"/>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0365">
            <a:extLst>
              <a:ext uri="{FF2B5EF4-FFF2-40B4-BE49-F238E27FC236}">
                <a16:creationId xmlns:a16="http://schemas.microsoft.com/office/drawing/2014/main" xmlns="" id="{B50B20F9-F13A-429E-8DF3-56F3B55533D3}"/>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3E34F568-98CD-492F-9F0C-806090D71F26}"/>
              </a:ext>
            </a:extLst>
          </xdr:cNvPr>
          <xdr:cNvSpPr/>
        </xdr:nvSpPr>
        <xdr:spPr>
          <a:xfrm>
            <a:off x="2029310" y="79239"/>
            <a:ext cx="97563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8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7C53C84E-734C-4DFC-816F-8239BB8AA5BC}"/>
              </a:ext>
            </a:extLst>
          </xdr:cNvPr>
          <xdr:cNvSpPr/>
        </xdr:nvSpPr>
        <xdr:spPr>
          <a:xfrm>
            <a:off x="2552954" y="79239"/>
            <a:ext cx="2068419"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CREANCES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322E7269-9896-4448-AA3A-959E4049A081}"/>
              </a:ext>
            </a:extLst>
          </xdr:cNvPr>
          <xdr:cNvSpPr/>
        </xdr:nvSpPr>
        <xdr:spPr>
          <a:xfrm>
            <a:off x="4107688" y="112776"/>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xdr:colOff>
      <xdr:row>0</xdr:row>
      <xdr:rowOff>95249</xdr:rowOff>
    </xdr:from>
    <xdr:to>
      <xdr:col>6</xdr:col>
      <xdr:colOff>590550</xdr:colOff>
      <xdr:row>3</xdr:row>
      <xdr:rowOff>123825</xdr:rowOff>
    </xdr:to>
    <xdr:grpSp>
      <xdr:nvGrpSpPr>
        <xdr:cNvPr id="6" name="Group 398290">
          <a:extLst>
            <a:ext uri="{FF2B5EF4-FFF2-40B4-BE49-F238E27FC236}">
              <a16:creationId xmlns:a16="http://schemas.microsoft.com/office/drawing/2014/main" xmlns="" id="{0B35604E-05F9-4B8D-85CF-79C1EC047009}"/>
            </a:ext>
          </a:extLst>
        </xdr:cNvPr>
        <xdr:cNvGrpSpPr/>
      </xdr:nvGrpSpPr>
      <xdr:grpSpPr>
        <a:xfrm>
          <a:off x="1" y="95249"/>
          <a:ext cx="8515349" cy="485776"/>
          <a:chOff x="0" y="0"/>
          <a:chExt cx="5979927" cy="384175"/>
        </a:xfrm>
      </xdr:grpSpPr>
      <xdr:sp macro="" textlink="">
        <xdr:nvSpPr>
          <xdr:cNvPr id="7" name="Rectangle 6">
            <a:extLst>
              <a:ext uri="{FF2B5EF4-FFF2-40B4-BE49-F238E27FC236}">
                <a16:creationId xmlns:a16="http://schemas.microsoft.com/office/drawing/2014/main" xmlns="" id="{6D3F4D82-A618-420A-B649-B2B16EBBCCA4}"/>
              </a:ext>
            </a:extLst>
          </xdr:cNvPr>
          <xdr:cNvSpPr/>
        </xdr:nvSpPr>
        <xdr:spPr>
          <a:xfrm>
            <a:off x="16815" y="188722"/>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8" name="Shape 508300">
            <a:extLst>
              <a:ext uri="{FF2B5EF4-FFF2-40B4-BE49-F238E27FC236}">
                <a16:creationId xmlns:a16="http://schemas.microsoft.com/office/drawing/2014/main" xmlns="" id="{7FB80A8A-D33D-447C-B049-820AC0185035}"/>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01">
            <a:extLst>
              <a:ext uri="{FF2B5EF4-FFF2-40B4-BE49-F238E27FC236}">
                <a16:creationId xmlns:a16="http://schemas.microsoft.com/office/drawing/2014/main" xmlns="" id="{1A4F3630-425D-4AA9-9F1F-2C5B6CF568BC}"/>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38085">
            <a:extLst>
              <a:ext uri="{FF2B5EF4-FFF2-40B4-BE49-F238E27FC236}">
                <a16:creationId xmlns:a16="http://schemas.microsoft.com/office/drawing/2014/main" xmlns="" id="{6B1FA3D4-ABD4-4C23-87FB-C04AD84760C3}"/>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xmlns="" id="{DF42F334-929C-492E-BC85-903AB34D1813}"/>
              </a:ext>
            </a:extLst>
          </xdr:cNvPr>
          <xdr:cNvSpPr/>
        </xdr:nvSpPr>
        <xdr:spPr>
          <a:xfrm>
            <a:off x="1465403" y="57910"/>
            <a:ext cx="708644"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3F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59E061B2-B3ED-4AB9-A1C5-D489E5FCFC49}"/>
              </a:ext>
            </a:extLst>
          </xdr:cNvPr>
          <xdr:cNvSpPr/>
        </xdr:nvSpPr>
        <xdr:spPr>
          <a:xfrm>
            <a:off x="2044659" y="65443"/>
            <a:ext cx="3935268" cy="207623"/>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TABLEAU D'ETALEMENT</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DES CHARGES IMMOBILISEES</a:t>
            </a: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xmlns="" id="{32B192B6-D453-4265-B868-770D208253C0}"/>
              </a:ext>
            </a:extLst>
          </xdr:cNvPr>
          <xdr:cNvSpPr/>
        </xdr:nvSpPr>
        <xdr:spPr>
          <a:xfrm>
            <a:off x="4255643" y="114046"/>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38101</xdr:colOff>
      <xdr:row>0</xdr:row>
      <xdr:rowOff>47625</xdr:rowOff>
    </xdr:from>
    <xdr:to>
      <xdr:col>3</xdr:col>
      <xdr:colOff>619125</xdr:colOff>
      <xdr:row>2</xdr:row>
      <xdr:rowOff>142875</xdr:rowOff>
    </xdr:to>
    <xdr:grpSp>
      <xdr:nvGrpSpPr>
        <xdr:cNvPr id="2" name="Group 401837">
          <a:extLst>
            <a:ext uri="{FF2B5EF4-FFF2-40B4-BE49-F238E27FC236}">
              <a16:creationId xmlns:a16="http://schemas.microsoft.com/office/drawing/2014/main" xmlns="" id="{1E387148-30A6-4BD3-AC0F-C9A41AE91C89}"/>
            </a:ext>
          </a:extLst>
        </xdr:cNvPr>
        <xdr:cNvGrpSpPr/>
      </xdr:nvGrpSpPr>
      <xdr:grpSpPr>
        <a:xfrm>
          <a:off x="38101" y="47625"/>
          <a:ext cx="6095999" cy="400050"/>
          <a:chOff x="0" y="0"/>
          <a:chExt cx="5848350" cy="384175"/>
        </a:xfrm>
      </xdr:grpSpPr>
      <xdr:sp macro="" textlink="">
        <xdr:nvSpPr>
          <xdr:cNvPr id="3" name="Shape 508314">
            <a:extLst>
              <a:ext uri="{FF2B5EF4-FFF2-40B4-BE49-F238E27FC236}">
                <a16:creationId xmlns:a16="http://schemas.microsoft.com/office/drawing/2014/main" xmlns="" id="{9E9778E7-9570-4858-B2E3-748BF6E29DE0}"/>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315">
            <a:extLst>
              <a:ext uri="{FF2B5EF4-FFF2-40B4-BE49-F238E27FC236}">
                <a16:creationId xmlns:a16="http://schemas.microsoft.com/office/drawing/2014/main" xmlns="" id="{F5F20532-ABA0-402D-A67D-D8ACD851526A}"/>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41398">
            <a:extLst>
              <a:ext uri="{FF2B5EF4-FFF2-40B4-BE49-F238E27FC236}">
                <a16:creationId xmlns:a16="http://schemas.microsoft.com/office/drawing/2014/main" xmlns="" id="{D59A3D4F-F087-43F6-80AD-357B7A0F9A2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xmlns="" id="{45C30020-4C8B-4C56-866F-AFFFAB41DFF7}"/>
              </a:ext>
            </a:extLst>
          </xdr:cNvPr>
          <xdr:cNvSpPr/>
        </xdr:nvSpPr>
        <xdr:spPr>
          <a:xfrm>
            <a:off x="1664328" y="61960"/>
            <a:ext cx="975635"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9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xmlns="" id="{BB92DFFB-A901-47C9-A768-46ED94D018AE}"/>
              </a:ext>
            </a:extLst>
          </xdr:cNvPr>
          <xdr:cNvSpPr/>
        </xdr:nvSpPr>
        <xdr:spPr>
          <a:xfrm>
            <a:off x="2410869" y="71107"/>
            <a:ext cx="255481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TITRES DE PLACEMENT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2F669343-C333-4A07-8359-925A569463C3}"/>
              </a:ext>
            </a:extLst>
          </xdr:cNvPr>
          <xdr:cNvSpPr/>
        </xdr:nvSpPr>
        <xdr:spPr>
          <a:xfrm>
            <a:off x="4289552" y="113792"/>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95250</xdr:colOff>
      <xdr:row>0</xdr:row>
      <xdr:rowOff>0</xdr:rowOff>
    </xdr:from>
    <xdr:to>
      <xdr:col>3</xdr:col>
      <xdr:colOff>628650</xdr:colOff>
      <xdr:row>3</xdr:row>
      <xdr:rowOff>0</xdr:rowOff>
    </xdr:to>
    <xdr:grpSp>
      <xdr:nvGrpSpPr>
        <xdr:cNvPr id="2" name="Group 402232">
          <a:extLst>
            <a:ext uri="{FF2B5EF4-FFF2-40B4-BE49-F238E27FC236}">
              <a16:creationId xmlns:a16="http://schemas.microsoft.com/office/drawing/2014/main" xmlns="" id="{5C5813A2-D735-450E-83AE-E4FAFBB08BCC}"/>
            </a:ext>
          </a:extLst>
        </xdr:cNvPr>
        <xdr:cNvGrpSpPr/>
      </xdr:nvGrpSpPr>
      <xdr:grpSpPr>
        <a:xfrm>
          <a:off x="95250" y="0"/>
          <a:ext cx="5886450" cy="457200"/>
          <a:chOff x="0" y="0"/>
          <a:chExt cx="5848350" cy="489785"/>
        </a:xfrm>
      </xdr:grpSpPr>
      <xdr:sp macro="" textlink="">
        <xdr:nvSpPr>
          <xdr:cNvPr id="3" name="Rectangle 2">
            <a:extLst>
              <a:ext uri="{FF2B5EF4-FFF2-40B4-BE49-F238E27FC236}">
                <a16:creationId xmlns:a16="http://schemas.microsoft.com/office/drawing/2014/main" xmlns="" id="{925EDC7A-DEA0-4B37-8E53-7B77C418B2F1}"/>
              </a:ext>
            </a:extLst>
          </xdr:cNvPr>
          <xdr:cNvSpPr/>
        </xdr:nvSpPr>
        <xdr:spPr>
          <a:xfrm>
            <a:off x="32055" y="265405"/>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16">
            <a:extLst>
              <a:ext uri="{FF2B5EF4-FFF2-40B4-BE49-F238E27FC236}">
                <a16:creationId xmlns:a16="http://schemas.microsoft.com/office/drawing/2014/main" xmlns="" id="{9C002F69-0227-4DEB-B3F1-193B8AE3196A}"/>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17">
            <a:extLst>
              <a:ext uri="{FF2B5EF4-FFF2-40B4-BE49-F238E27FC236}">
                <a16:creationId xmlns:a16="http://schemas.microsoft.com/office/drawing/2014/main" xmlns="" id="{461E126B-00FA-4847-A176-AAB21B90260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1790">
            <a:extLst>
              <a:ext uri="{FF2B5EF4-FFF2-40B4-BE49-F238E27FC236}">
                <a16:creationId xmlns:a16="http://schemas.microsoft.com/office/drawing/2014/main" xmlns="" id="{5F2EE46A-05F8-49E8-8203-80BA1A6F0110}"/>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E6FFF444-6B2D-4F91-B512-6E3AB0D7D124}"/>
              </a:ext>
            </a:extLst>
          </xdr:cNvPr>
          <xdr:cNvSpPr/>
        </xdr:nvSpPr>
        <xdr:spPr>
          <a:xfrm>
            <a:off x="1612773" y="20408"/>
            <a:ext cx="1116027" cy="296362"/>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10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807CA0C8-B438-4DB8-BC72-2B25470712CD}"/>
              </a:ext>
            </a:extLst>
          </xdr:cNvPr>
          <xdr:cNvSpPr/>
        </xdr:nvSpPr>
        <xdr:spPr>
          <a:xfrm>
            <a:off x="2531427" y="30613"/>
            <a:ext cx="2472997" cy="28615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VALEURS A ENCAISSER</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F7E8A45B-0D05-436D-B9A8-952BE85FC1D4}"/>
              </a:ext>
            </a:extLst>
          </xdr:cNvPr>
          <xdr:cNvSpPr/>
        </xdr:nvSpPr>
        <xdr:spPr>
          <a:xfrm>
            <a:off x="4310507" y="113157"/>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142874</xdr:colOff>
      <xdr:row>1</xdr:row>
      <xdr:rowOff>0</xdr:rowOff>
    </xdr:from>
    <xdr:to>
      <xdr:col>4</xdr:col>
      <xdr:colOff>647699</xdr:colOff>
      <xdr:row>4</xdr:row>
      <xdr:rowOff>95250</xdr:rowOff>
    </xdr:to>
    <xdr:grpSp>
      <xdr:nvGrpSpPr>
        <xdr:cNvPr id="7" name="Group 402232">
          <a:extLst>
            <a:ext uri="{FF2B5EF4-FFF2-40B4-BE49-F238E27FC236}">
              <a16:creationId xmlns:a16="http://schemas.microsoft.com/office/drawing/2014/main" xmlns="" id="{5C72C322-84F9-439F-963E-8CCABD5DBE80}"/>
            </a:ext>
          </a:extLst>
        </xdr:cNvPr>
        <xdr:cNvGrpSpPr/>
      </xdr:nvGrpSpPr>
      <xdr:grpSpPr>
        <a:xfrm>
          <a:off x="380999" y="152400"/>
          <a:ext cx="5381625" cy="581025"/>
          <a:chOff x="0" y="0"/>
          <a:chExt cx="5848350" cy="489785"/>
        </a:xfrm>
      </xdr:grpSpPr>
      <xdr:sp macro="" textlink="">
        <xdr:nvSpPr>
          <xdr:cNvPr id="8" name="Rectangle 7">
            <a:extLst>
              <a:ext uri="{FF2B5EF4-FFF2-40B4-BE49-F238E27FC236}">
                <a16:creationId xmlns:a16="http://schemas.microsoft.com/office/drawing/2014/main" xmlns="" id="{5DB7336D-D078-410D-BC8A-14611CA2F56B}"/>
              </a:ext>
            </a:extLst>
          </xdr:cNvPr>
          <xdr:cNvSpPr/>
        </xdr:nvSpPr>
        <xdr:spPr>
          <a:xfrm>
            <a:off x="32055" y="265405"/>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Shape 508316">
            <a:extLst>
              <a:ext uri="{FF2B5EF4-FFF2-40B4-BE49-F238E27FC236}">
                <a16:creationId xmlns:a16="http://schemas.microsoft.com/office/drawing/2014/main" xmlns="" id="{F0B465F9-1449-4794-9E96-1A01FE954890}"/>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0" name="Shape 508317">
            <a:extLst>
              <a:ext uri="{FF2B5EF4-FFF2-40B4-BE49-F238E27FC236}">
                <a16:creationId xmlns:a16="http://schemas.microsoft.com/office/drawing/2014/main" xmlns="" id="{66981D34-DF2A-49CE-A02D-8A86C76CC578}"/>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1" name="Shape 41790">
            <a:extLst>
              <a:ext uri="{FF2B5EF4-FFF2-40B4-BE49-F238E27FC236}">
                <a16:creationId xmlns:a16="http://schemas.microsoft.com/office/drawing/2014/main" xmlns="" id="{8CEAE5FA-E9B8-4ECA-9781-3A29974F6A4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2" name="Rectangle 11">
            <a:extLst>
              <a:ext uri="{FF2B5EF4-FFF2-40B4-BE49-F238E27FC236}">
                <a16:creationId xmlns:a16="http://schemas.microsoft.com/office/drawing/2014/main" xmlns="" id="{C5DA7560-E8B5-418D-AB90-F55A2719CFB6}"/>
              </a:ext>
            </a:extLst>
          </xdr:cNvPr>
          <xdr:cNvSpPr/>
        </xdr:nvSpPr>
        <xdr:spPr>
          <a:xfrm>
            <a:off x="1039240" y="30775"/>
            <a:ext cx="1116027"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11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xmlns="" id="{36375F41-6270-494F-98B5-AD99085066D4}"/>
              </a:ext>
            </a:extLst>
          </xdr:cNvPr>
          <xdr:cNvSpPr/>
        </xdr:nvSpPr>
        <xdr:spPr>
          <a:xfrm>
            <a:off x="1839628" y="42990"/>
            <a:ext cx="3952842" cy="2657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BANQUES,</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CHEQUES POSTAUX ET CHEQUES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4" name="Rectangle 13">
            <a:extLst>
              <a:ext uri="{FF2B5EF4-FFF2-40B4-BE49-F238E27FC236}">
                <a16:creationId xmlns:a16="http://schemas.microsoft.com/office/drawing/2014/main" xmlns="" id="{9DEC6298-EBB0-4A82-8CF9-8D0C2E68640C}"/>
              </a:ext>
            </a:extLst>
          </xdr:cNvPr>
          <xdr:cNvSpPr/>
        </xdr:nvSpPr>
        <xdr:spPr>
          <a:xfrm>
            <a:off x="4310507" y="113157"/>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28576</xdr:colOff>
      <xdr:row>0</xdr:row>
      <xdr:rowOff>114300</xdr:rowOff>
    </xdr:from>
    <xdr:to>
      <xdr:col>5</xdr:col>
      <xdr:colOff>685800</xdr:colOff>
      <xdr:row>3</xdr:row>
      <xdr:rowOff>100987</xdr:rowOff>
    </xdr:to>
    <xdr:grpSp>
      <xdr:nvGrpSpPr>
        <xdr:cNvPr id="2" name="Group 403565">
          <a:extLst>
            <a:ext uri="{FF2B5EF4-FFF2-40B4-BE49-F238E27FC236}">
              <a16:creationId xmlns:a16="http://schemas.microsoft.com/office/drawing/2014/main" xmlns="" id="{8FAF0436-4920-42AB-A8D5-67790DACAA46}"/>
            </a:ext>
          </a:extLst>
        </xdr:cNvPr>
        <xdr:cNvGrpSpPr/>
      </xdr:nvGrpSpPr>
      <xdr:grpSpPr>
        <a:xfrm>
          <a:off x="30100" y="111252"/>
          <a:ext cx="7152512" cy="428139"/>
          <a:chOff x="0" y="0"/>
          <a:chExt cx="5848350" cy="463114"/>
        </a:xfrm>
      </xdr:grpSpPr>
      <xdr:sp macro="" textlink="">
        <xdr:nvSpPr>
          <xdr:cNvPr id="3" name="Rectangle 2">
            <a:extLst>
              <a:ext uri="{FF2B5EF4-FFF2-40B4-BE49-F238E27FC236}">
                <a16:creationId xmlns:a16="http://schemas.microsoft.com/office/drawing/2014/main" xmlns="" id="{0D5BFABA-E14B-42A5-8013-0E74A9BC0EDF}"/>
              </a:ext>
            </a:extLst>
          </xdr:cNvPr>
          <xdr:cNvSpPr/>
        </xdr:nvSpPr>
        <xdr:spPr>
          <a:xfrm>
            <a:off x="57455" y="238734"/>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20">
            <a:extLst>
              <a:ext uri="{FF2B5EF4-FFF2-40B4-BE49-F238E27FC236}">
                <a16:creationId xmlns:a16="http://schemas.microsoft.com/office/drawing/2014/main" xmlns="" id="{D4AA011B-8CE3-4644-9891-6A1D5636A443}"/>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21">
            <a:extLst>
              <a:ext uri="{FF2B5EF4-FFF2-40B4-BE49-F238E27FC236}">
                <a16:creationId xmlns:a16="http://schemas.microsoft.com/office/drawing/2014/main" xmlns="" id="{255162AF-3FA1-4264-B10F-73B87C154C62}"/>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2987">
            <a:extLst>
              <a:ext uri="{FF2B5EF4-FFF2-40B4-BE49-F238E27FC236}">
                <a16:creationId xmlns:a16="http://schemas.microsoft.com/office/drawing/2014/main" xmlns="" id="{10AF4ACE-5C8A-4B22-AD94-FF87B655284C}"/>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4F8715D8-A521-4599-993E-9EE321F98A07}"/>
              </a:ext>
            </a:extLst>
          </xdr:cNvPr>
          <xdr:cNvSpPr/>
        </xdr:nvSpPr>
        <xdr:spPr>
          <a:xfrm>
            <a:off x="1529588" y="0"/>
            <a:ext cx="1116026" cy="31753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12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61B74DF3-2FC8-4BBA-B7BE-310B2D5433D1}"/>
              </a:ext>
            </a:extLst>
          </xdr:cNvPr>
          <xdr:cNvSpPr/>
        </xdr:nvSpPr>
        <xdr:spPr>
          <a:xfrm>
            <a:off x="2369693" y="9938"/>
            <a:ext cx="2696154" cy="307594"/>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ECARTS DE CONVERSION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C218DD64-7309-4057-BE56-F0323285E32E}"/>
              </a:ext>
            </a:extLst>
          </xdr:cNvPr>
          <xdr:cNvSpPr/>
        </xdr:nvSpPr>
        <xdr:spPr>
          <a:xfrm>
            <a:off x="4395344" y="113919"/>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95250</xdr:colOff>
      <xdr:row>0</xdr:row>
      <xdr:rowOff>123825</xdr:rowOff>
    </xdr:from>
    <xdr:to>
      <xdr:col>6</xdr:col>
      <xdr:colOff>647700</xdr:colOff>
      <xdr:row>2</xdr:row>
      <xdr:rowOff>104775</xdr:rowOff>
    </xdr:to>
    <xdr:sp macro="" textlink="">
      <xdr:nvSpPr>
        <xdr:cNvPr id="11" name="Zone de texte 6">
          <a:extLst>
            <a:ext uri="{FF2B5EF4-FFF2-40B4-BE49-F238E27FC236}">
              <a16:creationId xmlns:a16="http://schemas.microsoft.com/office/drawing/2014/main" xmlns="" id="{48A84788-F429-4615-B901-B0BD25989B8E}"/>
            </a:ext>
          </a:extLst>
        </xdr:cNvPr>
        <xdr:cNvSpPr txBox="1"/>
      </xdr:nvSpPr>
      <xdr:spPr>
        <a:xfrm>
          <a:off x="95250" y="123825"/>
          <a:ext cx="5457825" cy="285750"/>
        </a:xfrm>
        <a:prstGeom prst="rect">
          <a:avLst/>
        </a:prstGeom>
        <a:solidFill>
          <a:srgbClr val="0070C0"/>
        </a:solidFill>
        <a:ln w="6350">
          <a:solidFill>
            <a:prstClr val="black"/>
          </a:solidFill>
        </a:ln>
        <a:effectLst>
          <a:outerShdw blurRad="63500" dist="50800" dir="7140000" algn="tr" rotWithShape="0">
            <a:prstClr val="black"/>
          </a:outerShdw>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spcAft>
              <a:spcPts val="0"/>
            </a:spcAft>
          </a:pPr>
          <a:r>
            <a:rPr lang="fr-FR" sz="1400" b="1">
              <a:solidFill>
                <a:srgbClr val="FFFFFF"/>
              </a:solidFill>
              <a:effectLst/>
              <a:latin typeface="Cambria" panose="02040503050406030204" pitchFamily="18" charset="0"/>
              <a:ea typeface="Calibri" panose="020F0502020204030204" pitchFamily="34" charset="0"/>
              <a:cs typeface="Times New Roman" panose="02020603050405020304" pitchFamily="18" charset="0"/>
            </a:rPr>
            <a:t>NOTE 13 : CAPITAL</a:t>
          </a:r>
          <a:endParaRPr lang="fr-FR" sz="1400">
            <a:effectLst/>
            <a:latin typeface="Cambria" panose="02040503050406030204" pitchFamily="18" charset="0"/>
            <a:ea typeface="Calibri" panose="020F0502020204030204" pitchFamily="34" charset="0"/>
            <a:cs typeface="Times New Roman" panose="02020603050405020304" pitchFamily="18" charset="0"/>
          </a:endParaRPr>
        </a:p>
        <a:p>
          <a:pPr algn="ctr">
            <a:spcAft>
              <a:spcPts val="0"/>
            </a:spcAft>
          </a:pPr>
          <a:r>
            <a:rPr lang="fr-FR" sz="1400" b="1">
              <a:effectLst/>
              <a:latin typeface="Cambria" panose="02040503050406030204" pitchFamily="18" charset="0"/>
              <a:ea typeface="Calibri" panose="020F0502020204030204" pitchFamily="34" charset="0"/>
              <a:cs typeface="Times New Roman" panose="02020603050405020304" pitchFamily="18" charset="0"/>
            </a:rPr>
            <a:t> </a:t>
          </a:r>
          <a:endParaRPr lang="fr-FR" sz="1400">
            <a:effectLst/>
            <a:latin typeface="Cambria" panose="02040503050406030204" pitchFamily="18" charset="0"/>
            <a:ea typeface="Calibri" panose="020F0502020204030204" pitchFamily="34" charset="0"/>
            <a:cs typeface="Times New Roman" panose="02020603050405020304" pitchFamily="18"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38100</xdr:colOff>
      <xdr:row>0</xdr:row>
      <xdr:rowOff>28576</xdr:rowOff>
    </xdr:from>
    <xdr:to>
      <xdr:col>4</xdr:col>
      <xdr:colOff>657225</xdr:colOff>
      <xdr:row>2</xdr:row>
      <xdr:rowOff>142875</xdr:rowOff>
    </xdr:to>
    <xdr:grpSp>
      <xdr:nvGrpSpPr>
        <xdr:cNvPr id="2" name="Group 404201">
          <a:extLst>
            <a:ext uri="{FF2B5EF4-FFF2-40B4-BE49-F238E27FC236}">
              <a16:creationId xmlns:a16="http://schemas.microsoft.com/office/drawing/2014/main" xmlns="" id="{5109660D-8D02-42B3-A176-DFBE434A9D0A}"/>
            </a:ext>
          </a:extLst>
        </xdr:cNvPr>
        <xdr:cNvGrpSpPr/>
      </xdr:nvGrpSpPr>
      <xdr:grpSpPr>
        <a:xfrm>
          <a:off x="180975" y="28576"/>
          <a:ext cx="6677025" cy="419099"/>
          <a:chOff x="28529" y="0"/>
          <a:chExt cx="5819821" cy="454860"/>
        </a:xfrm>
      </xdr:grpSpPr>
      <xdr:sp macro="" textlink="">
        <xdr:nvSpPr>
          <xdr:cNvPr id="3" name="Rectangle 2">
            <a:extLst>
              <a:ext uri="{FF2B5EF4-FFF2-40B4-BE49-F238E27FC236}">
                <a16:creationId xmlns:a16="http://schemas.microsoft.com/office/drawing/2014/main" xmlns="" id="{86A2593C-A07F-4792-A48E-F652BC744D2C}"/>
              </a:ext>
            </a:extLst>
          </xdr:cNvPr>
          <xdr:cNvSpPr/>
        </xdr:nvSpPr>
        <xdr:spPr>
          <a:xfrm>
            <a:off x="74600" y="230480"/>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24">
            <a:extLst>
              <a:ext uri="{FF2B5EF4-FFF2-40B4-BE49-F238E27FC236}">
                <a16:creationId xmlns:a16="http://schemas.microsoft.com/office/drawing/2014/main" xmlns="" id="{0C852689-4C9D-4DC5-A2DE-0817FE5A0CC4}"/>
              </a:ext>
            </a:extLst>
          </xdr:cNvPr>
          <xdr:cNvSpPr/>
        </xdr:nvSpPr>
        <xdr:spPr>
          <a:xfrm>
            <a:off x="28529" y="64104"/>
            <a:ext cx="5772150" cy="307974"/>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25">
            <a:extLst>
              <a:ext uri="{FF2B5EF4-FFF2-40B4-BE49-F238E27FC236}">
                <a16:creationId xmlns:a16="http://schemas.microsoft.com/office/drawing/2014/main" xmlns="" id="{17B4D0FB-467D-4F0C-8194-A2A09FD53443}"/>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4063">
            <a:extLst>
              <a:ext uri="{FF2B5EF4-FFF2-40B4-BE49-F238E27FC236}">
                <a16:creationId xmlns:a16="http://schemas.microsoft.com/office/drawing/2014/main" xmlns="" id="{B95FF87E-D2F2-4E00-9AC4-7824BE4787E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3B57F58E-0266-40C5-9828-F97C63EFE801}"/>
              </a:ext>
            </a:extLst>
          </xdr:cNvPr>
          <xdr:cNvSpPr/>
        </xdr:nvSpPr>
        <xdr:spPr>
          <a:xfrm>
            <a:off x="1567902" y="20676"/>
            <a:ext cx="2443090" cy="29622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14 : PRIMES ET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D7E99B76-26A0-47E4-8897-6FDF8D0A6577}"/>
              </a:ext>
            </a:extLst>
          </xdr:cNvPr>
          <xdr:cNvSpPr/>
        </xdr:nvSpPr>
        <xdr:spPr>
          <a:xfrm>
            <a:off x="3216857" y="20674"/>
            <a:ext cx="1326781" cy="29622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RESERVES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36555C0E-144B-48C7-9779-45CC3BB7551E}"/>
              </a:ext>
            </a:extLst>
          </xdr:cNvPr>
          <xdr:cNvSpPr/>
        </xdr:nvSpPr>
        <xdr:spPr>
          <a:xfrm>
            <a:off x="4266184" y="113284"/>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142876</xdr:colOff>
      <xdr:row>0</xdr:row>
      <xdr:rowOff>76200</xdr:rowOff>
    </xdr:from>
    <xdr:to>
      <xdr:col>7</xdr:col>
      <xdr:colOff>581025</xdr:colOff>
      <xdr:row>3</xdr:row>
      <xdr:rowOff>0</xdr:rowOff>
    </xdr:to>
    <xdr:grpSp>
      <xdr:nvGrpSpPr>
        <xdr:cNvPr id="6" name="Group 404201">
          <a:extLst>
            <a:ext uri="{FF2B5EF4-FFF2-40B4-BE49-F238E27FC236}">
              <a16:creationId xmlns:a16="http://schemas.microsoft.com/office/drawing/2014/main" xmlns="" id="{35683065-FAC6-469A-B71D-5F6C921893A1}"/>
            </a:ext>
          </a:extLst>
        </xdr:cNvPr>
        <xdr:cNvGrpSpPr/>
      </xdr:nvGrpSpPr>
      <xdr:grpSpPr>
        <a:xfrm>
          <a:off x="142876" y="76200"/>
          <a:ext cx="8772524" cy="447675"/>
          <a:chOff x="28529" y="0"/>
          <a:chExt cx="5819821" cy="454860"/>
        </a:xfrm>
      </xdr:grpSpPr>
      <xdr:sp macro="" textlink="">
        <xdr:nvSpPr>
          <xdr:cNvPr id="7" name="Rectangle 6">
            <a:extLst>
              <a:ext uri="{FF2B5EF4-FFF2-40B4-BE49-F238E27FC236}">
                <a16:creationId xmlns:a16="http://schemas.microsoft.com/office/drawing/2014/main" xmlns="" id="{5BFA6B84-84B3-4F53-86B7-8B48FDD25FB1}"/>
              </a:ext>
            </a:extLst>
          </xdr:cNvPr>
          <xdr:cNvSpPr/>
        </xdr:nvSpPr>
        <xdr:spPr>
          <a:xfrm>
            <a:off x="74600" y="230480"/>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24">
            <a:extLst>
              <a:ext uri="{FF2B5EF4-FFF2-40B4-BE49-F238E27FC236}">
                <a16:creationId xmlns:a16="http://schemas.microsoft.com/office/drawing/2014/main" xmlns="" id="{1959EE86-F2AE-4F26-BA83-D3EAD5FE0DF0}"/>
              </a:ext>
            </a:extLst>
          </xdr:cNvPr>
          <xdr:cNvSpPr/>
        </xdr:nvSpPr>
        <xdr:spPr>
          <a:xfrm>
            <a:off x="28529" y="64104"/>
            <a:ext cx="5772150" cy="307974"/>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25">
            <a:extLst>
              <a:ext uri="{FF2B5EF4-FFF2-40B4-BE49-F238E27FC236}">
                <a16:creationId xmlns:a16="http://schemas.microsoft.com/office/drawing/2014/main" xmlns="" id="{ECD04E8B-14A6-46F3-A7D4-EF5EB45B5BB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4063">
            <a:extLst>
              <a:ext uri="{FF2B5EF4-FFF2-40B4-BE49-F238E27FC236}">
                <a16:creationId xmlns:a16="http://schemas.microsoft.com/office/drawing/2014/main" xmlns="" id="{5573C15C-A580-426C-B416-5AC6F44E83BC}"/>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xmlns="" id="{1B76E4C8-CD3C-4681-9160-8B9526C60E09}"/>
              </a:ext>
            </a:extLst>
          </xdr:cNvPr>
          <xdr:cNvSpPr/>
        </xdr:nvSpPr>
        <xdr:spPr>
          <a:xfrm>
            <a:off x="1030301" y="9678"/>
            <a:ext cx="4633198" cy="30721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15 A : TOTAL SUBVENTION ET PROVISIONS REGLEMENTEES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xmlns="" id="{25635806-1AD4-419E-ABBB-53886329B98C}"/>
              </a:ext>
            </a:extLst>
          </xdr:cNvPr>
          <xdr:cNvSpPr/>
        </xdr:nvSpPr>
        <xdr:spPr>
          <a:xfrm>
            <a:off x="4266184" y="113284"/>
            <a:ext cx="42143"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grp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123825</xdr:colOff>
      <xdr:row>0</xdr:row>
      <xdr:rowOff>0</xdr:rowOff>
    </xdr:from>
    <xdr:to>
      <xdr:col>6</xdr:col>
      <xdr:colOff>628649</xdr:colOff>
      <xdr:row>2</xdr:row>
      <xdr:rowOff>169316</xdr:rowOff>
    </xdr:to>
    <xdr:grpSp>
      <xdr:nvGrpSpPr>
        <xdr:cNvPr id="2" name="Group 405892">
          <a:extLst>
            <a:ext uri="{FF2B5EF4-FFF2-40B4-BE49-F238E27FC236}">
              <a16:creationId xmlns:a16="http://schemas.microsoft.com/office/drawing/2014/main" xmlns="" id="{D48319C9-8C35-46AC-834F-05F215596507}"/>
            </a:ext>
          </a:extLst>
        </xdr:cNvPr>
        <xdr:cNvGrpSpPr/>
      </xdr:nvGrpSpPr>
      <xdr:grpSpPr>
        <a:xfrm>
          <a:off x="132969" y="0"/>
          <a:ext cx="9055988" cy="535076"/>
          <a:chOff x="0" y="0"/>
          <a:chExt cx="5848351" cy="377668"/>
        </a:xfrm>
      </xdr:grpSpPr>
      <xdr:sp macro="" textlink="">
        <xdr:nvSpPr>
          <xdr:cNvPr id="3" name="Rectangle 2">
            <a:extLst>
              <a:ext uri="{FF2B5EF4-FFF2-40B4-BE49-F238E27FC236}">
                <a16:creationId xmlns:a16="http://schemas.microsoft.com/office/drawing/2014/main" xmlns="" id="{538066A1-2033-4441-927E-700DD10102E6}"/>
              </a:ext>
            </a:extLst>
          </xdr:cNvPr>
          <xdr:cNvSpPr/>
        </xdr:nvSpPr>
        <xdr:spPr>
          <a:xfrm>
            <a:off x="49835" y="9695"/>
            <a:ext cx="46619" cy="206429"/>
          </a:xfrm>
          <a:prstGeom prst="rect">
            <a:avLst/>
          </a:prstGeom>
          <a:ln>
            <a:noFill/>
          </a:ln>
        </xdr:spPr>
        <xdr:txBody>
          <a:bodyPr lIns="0" tIns="0" rIns="0" bIns="0" rtlCol="0">
            <a:noAutofit/>
          </a:bodyPr>
          <a:lstStyle/>
          <a:p>
            <a:pPr>
              <a:lnSpc>
                <a:spcPct val="115000"/>
              </a:lnSpc>
              <a:spcAft>
                <a:spcPts val="0"/>
              </a:spcAft>
            </a:pPr>
            <a:r>
              <a:rPr lang="fr-FR" sz="11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Rectangle 3">
            <a:extLst>
              <a:ext uri="{FF2B5EF4-FFF2-40B4-BE49-F238E27FC236}">
                <a16:creationId xmlns:a16="http://schemas.microsoft.com/office/drawing/2014/main" xmlns="" id="{3D68C314-78C6-470A-9B45-07A343A78705}"/>
              </a:ext>
            </a:extLst>
          </xdr:cNvPr>
          <xdr:cNvSpPr/>
        </xdr:nvSpPr>
        <xdr:spPr>
          <a:xfrm>
            <a:off x="49835" y="171238"/>
            <a:ext cx="46619" cy="206430"/>
          </a:xfrm>
          <a:prstGeom prst="rect">
            <a:avLst/>
          </a:prstGeom>
          <a:ln>
            <a:noFill/>
          </a:ln>
        </xdr:spPr>
        <xdr:txBody>
          <a:bodyPr lIns="0" tIns="0" rIns="0" bIns="0" rtlCol="0">
            <a:noAutofit/>
          </a:bodyPr>
          <a:lstStyle/>
          <a:p>
            <a:pPr>
              <a:lnSpc>
                <a:spcPct val="115000"/>
              </a:lnSpc>
              <a:spcAft>
                <a:spcPts val="0"/>
              </a:spcAft>
            </a:pPr>
            <a:r>
              <a:rPr lang="fr-FR" sz="11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 name="Shape 508328">
            <a:extLst>
              <a:ext uri="{FF2B5EF4-FFF2-40B4-BE49-F238E27FC236}">
                <a16:creationId xmlns:a16="http://schemas.microsoft.com/office/drawing/2014/main" xmlns="" id="{D63DA679-D86E-4E56-A80E-E94C77CC8595}"/>
              </a:ext>
            </a:extLst>
          </xdr:cNvPr>
          <xdr:cNvSpPr/>
        </xdr:nvSpPr>
        <xdr:spPr>
          <a:xfrm>
            <a:off x="0" y="76200"/>
            <a:ext cx="5772151" cy="257175"/>
          </a:xfrm>
          <a:custGeom>
            <a:avLst/>
            <a:gdLst/>
            <a:ahLst/>
            <a:cxnLst/>
            <a:rect l="0" t="0" r="0" b="0"/>
            <a:pathLst>
              <a:path w="5772151" h="257175">
                <a:moveTo>
                  <a:pt x="0" y="0"/>
                </a:moveTo>
                <a:lnTo>
                  <a:pt x="5772151" y="0"/>
                </a:lnTo>
                <a:lnTo>
                  <a:pt x="5772151" y="257175"/>
                </a:lnTo>
                <a:lnTo>
                  <a:pt x="0" y="2571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329">
            <a:extLst>
              <a:ext uri="{FF2B5EF4-FFF2-40B4-BE49-F238E27FC236}">
                <a16:creationId xmlns:a16="http://schemas.microsoft.com/office/drawing/2014/main" xmlns="" id="{B109DC7E-D368-4934-BA68-7B73EA82D155}"/>
              </a:ext>
            </a:extLst>
          </xdr:cNvPr>
          <xdr:cNvSpPr/>
        </xdr:nvSpPr>
        <xdr:spPr>
          <a:xfrm>
            <a:off x="76200" y="0"/>
            <a:ext cx="5772151" cy="257175"/>
          </a:xfrm>
          <a:custGeom>
            <a:avLst/>
            <a:gdLst/>
            <a:ahLst/>
            <a:cxnLst/>
            <a:rect l="0" t="0" r="0" b="0"/>
            <a:pathLst>
              <a:path w="5772151" h="257175">
                <a:moveTo>
                  <a:pt x="0" y="0"/>
                </a:moveTo>
                <a:lnTo>
                  <a:pt x="5772151" y="0"/>
                </a:lnTo>
                <a:lnTo>
                  <a:pt x="5772151" y="257175"/>
                </a:lnTo>
                <a:lnTo>
                  <a:pt x="0" y="2571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45663">
            <a:extLst>
              <a:ext uri="{FF2B5EF4-FFF2-40B4-BE49-F238E27FC236}">
                <a16:creationId xmlns:a16="http://schemas.microsoft.com/office/drawing/2014/main" xmlns="" id="{5DCEC1E0-CD9C-49D0-80E5-AA97224E2259}"/>
              </a:ext>
            </a:extLst>
          </xdr:cNvPr>
          <xdr:cNvSpPr/>
        </xdr:nvSpPr>
        <xdr:spPr>
          <a:xfrm>
            <a:off x="76200" y="0"/>
            <a:ext cx="5772151" cy="257175"/>
          </a:xfrm>
          <a:custGeom>
            <a:avLst/>
            <a:gdLst/>
            <a:ahLst/>
            <a:cxnLst/>
            <a:rect l="0" t="0" r="0" b="0"/>
            <a:pathLst>
              <a:path w="5772151" h="257175">
                <a:moveTo>
                  <a:pt x="0" y="257175"/>
                </a:moveTo>
                <a:lnTo>
                  <a:pt x="5772151" y="257175"/>
                </a:lnTo>
                <a:lnTo>
                  <a:pt x="5772151"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xmlns="" id="{A26BECF1-6F63-4EAD-915F-451B6E59834E}"/>
              </a:ext>
            </a:extLst>
          </xdr:cNvPr>
          <xdr:cNvSpPr/>
        </xdr:nvSpPr>
        <xdr:spPr>
          <a:xfrm>
            <a:off x="1650365" y="78441"/>
            <a:ext cx="1217640" cy="20128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15 B</a:t>
            </a:r>
            <a:endParaRPr lang="fr-FR" sz="14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E1795D61-D919-47C3-9B21-9FD69C49CA76}"/>
              </a:ext>
            </a:extLst>
          </xdr:cNvPr>
          <xdr:cNvSpPr/>
        </xdr:nvSpPr>
        <xdr:spPr>
          <a:xfrm>
            <a:off x="2326125" y="78441"/>
            <a:ext cx="92516" cy="201289"/>
          </a:xfrm>
          <a:prstGeom prst="rect">
            <a:avLst/>
          </a:prstGeom>
          <a:ln>
            <a:noFill/>
          </a:ln>
        </xdr:spPr>
        <xdr:txBody>
          <a:bodyPr lIns="0" tIns="0" rIns="0" bIns="0" rtlCol="0">
            <a:noAutofit/>
          </a:bodyPr>
          <a:lstStyle/>
          <a:p>
            <a:pPr>
              <a:lnSpc>
                <a:spcPct val="115000"/>
              </a:lnSpc>
              <a:spcAft>
                <a:spcPts val="0"/>
              </a:spcAft>
            </a:pPr>
            <a:r>
              <a:rPr lang="fr-FR" sz="1200" b="1">
                <a:solidFill>
                  <a:srgbClr val="FFFFFF"/>
                </a:solidFill>
                <a:effectLst/>
                <a:latin typeface="Cambria" panose="02040503050406030204" pitchFamily="18" charset="0"/>
                <a:ea typeface="Cambria" panose="02040503050406030204" pitchFamily="18" charset="0"/>
                <a:cs typeface="Cambria" panose="02040503050406030204" pitchFamily="18" charset="0"/>
              </a:rPr>
              <a:t>:</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C7B35523-883D-4D5E-9121-DB5D404277FE}"/>
              </a:ext>
            </a:extLst>
          </xdr:cNvPr>
          <xdr:cNvSpPr/>
        </xdr:nvSpPr>
        <xdr:spPr>
          <a:xfrm>
            <a:off x="2468753" y="77038"/>
            <a:ext cx="44592" cy="202692"/>
          </a:xfrm>
          <a:prstGeom prst="rect">
            <a:avLst/>
          </a:prstGeom>
          <a:ln>
            <a:noFill/>
          </a:ln>
        </xdr:spPr>
        <xdr:txBody>
          <a:bodyPr lIns="0" tIns="0" rIns="0" bIns="0" rtlCol="0">
            <a:noAutofit/>
          </a:bodyPr>
          <a:lstStyle/>
          <a:p>
            <a:pPr>
              <a:lnSpc>
                <a:spcPct val="115000"/>
              </a:lnSpc>
              <a:spcAft>
                <a:spcPts val="0"/>
              </a:spcAft>
            </a:pPr>
            <a:r>
              <a:rPr lang="fr-FR" sz="12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1" name="Rectangle 10">
            <a:extLst>
              <a:ext uri="{FF2B5EF4-FFF2-40B4-BE49-F238E27FC236}">
                <a16:creationId xmlns:a16="http://schemas.microsoft.com/office/drawing/2014/main" xmlns="" id="{226BFEDC-0D56-452F-97D3-1315840203AF}"/>
              </a:ext>
            </a:extLst>
          </xdr:cNvPr>
          <xdr:cNvSpPr/>
        </xdr:nvSpPr>
        <xdr:spPr>
          <a:xfrm>
            <a:off x="2398815" y="71905"/>
            <a:ext cx="2460774" cy="207826"/>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FONDS PROPRES</a:t>
            </a:r>
            <a:endParaRPr lang="fr-FR" sz="14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D6D3D4E2-4B08-4851-95B1-C82F37FD4267}"/>
              </a:ext>
            </a:extLst>
          </xdr:cNvPr>
          <xdr:cNvSpPr/>
        </xdr:nvSpPr>
        <xdr:spPr>
          <a:xfrm>
            <a:off x="4276471" y="77038"/>
            <a:ext cx="44592" cy="202692"/>
          </a:xfrm>
          <a:prstGeom prst="rect">
            <a:avLst/>
          </a:prstGeom>
          <a:ln>
            <a:noFill/>
          </a:ln>
        </xdr:spPr>
        <xdr:txBody>
          <a:bodyPr lIns="0" tIns="0" rIns="0" bIns="0" rtlCol="0">
            <a:noAutofit/>
          </a:bodyPr>
          <a:lstStyle/>
          <a:p>
            <a:pPr>
              <a:lnSpc>
                <a:spcPct val="115000"/>
              </a:lnSpc>
              <a:spcAft>
                <a:spcPts val="0"/>
              </a:spcAft>
            </a:pPr>
            <a:r>
              <a:rPr lang="fr-FR" sz="12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85724</xdr:colOff>
      <xdr:row>0</xdr:row>
      <xdr:rowOff>38100</xdr:rowOff>
    </xdr:from>
    <xdr:to>
      <xdr:col>7</xdr:col>
      <xdr:colOff>828674</xdr:colOff>
      <xdr:row>2</xdr:row>
      <xdr:rowOff>0</xdr:rowOff>
    </xdr:to>
    <xdr:sp macro="" textlink="">
      <xdr:nvSpPr>
        <xdr:cNvPr id="26630" name="Zone de texte 7">
          <a:extLst>
            <a:ext uri="{FF2B5EF4-FFF2-40B4-BE49-F238E27FC236}">
              <a16:creationId xmlns:a16="http://schemas.microsoft.com/office/drawing/2014/main" xmlns="" id="{75613AA5-970D-4E8A-9FB6-D405B2D7E544}"/>
            </a:ext>
          </a:extLst>
        </xdr:cNvPr>
        <xdr:cNvSpPr txBox="1">
          <a:spLocks noChangeArrowheads="1"/>
        </xdr:cNvSpPr>
      </xdr:nvSpPr>
      <xdr:spPr bwMode="auto">
        <a:xfrm>
          <a:off x="85724" y="38100"/>
          <a:ext cx="11363325" cy="2667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16A : DETTES FINANCIERES ET RESSOURCES</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200026</xdr:colOff>
      <xdr:row>0</xdr:row>
      <xdr:rowOff>47624</xdr:rowOff>
    </xdr:from>
    <xdr:to>
      <xdr:col>4</xdr:col>
      <xdr:colOff>1152525</xdr:colOff>
      <xdr:row>2</xdr:row>
      <xdr:rowOff>85726</xdr:rowOff>
    </xdr:to>
    <xdr:sp macro="" textlink="">
      <xdr:nvSpPr>
        <xdr:cNvPr id="6" name="Zone de texte 7">
          <a:extLst>
            <a:ext uri="{FF2B5EF4-FFF2-40B4-BE49-F238E27FC236}">
              <a16:creationId xmlns:a16="http://schemas.microsoft.com/office/drawing/2014/main" xmlns="" id="{A1640AE0-2A3F-45AE-AAD0-4105FE524C05}"/>
            </a:ext>
          </a:extLst>
        </xdr:cNvPr>
        <xdr:cNvSpPr txBox="1">
          <a:spLocks noChangeArrowheads="1"/>
        </xdr:cNvSpPr>
      </xdr:nvSpPr>
      <xdr:spPr bwMode="auto">
        <a:xfrm>
          <a:off x="200026" y="47624"/>
          <a:ext cx="11287124" cy="342902"/>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ctr" rtl="0">
            <a:defRPr sz="1000"/>
          </a:pPr>
          <a:r>
            <a:rPr lang="fr-FR" sz="1200" b="1" i="0" u="none" strike="noStrike" baseline="0">
              <a:solidFill>
                <a:srgbClr val="FFFFFF"/>
              </a:solidFill>
              <a:latin typeface="Cambria"/>
            </a:rPr>
            <a:t>NOTE 16B : ENGAGEMENTS DE RETRAITE ET AVANTAGES ASSIMILES (METHODE ACTUARIELLE)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85728</xdr:colOff>
      <xdr:row>0</xdr:row>
      <xdr:rowOff>28575</xdr:rowOff>
    </xdr:from>
    <xdr:to>
      <xdr:col>4</xdr:col>
      <xdr:colOff>704851</xdr:colOff>
      <xdr:row>2</xdr:row>
      <xdr:rowOff>95250</xdr:rowOff>
    </xdr:to>
    <xdr:sp macro="" textlink="">
      <xdr:nvSpPr>
        <xdr:cNvPr id="2" name="Zone de texte 7">
          <a:extLst>
            <a:ext uri="{FF2B5EF4-FFF2-40B4-BE49-F238E27FC236}">
              <a16:creationId xmlns:a16="http://schemas.microsoft.com/office/drawing/2014/main" xmlns="" id="{F253DBF5-72BB-49A0-942A-FDB4ACAE86F1}"/>
            </a:ext>
          </a:extLst>
        </xdr:cNvPr>
        <xdr:cNvSpPr txBox="1">
          <a:spLocks noChangeArrowheads="1"/>
        </xdr:cNvSpPr>
      </xdr:nvSpPr>
      <xdr:spPr bwMode="auto">
        <a:xfrm>
          <a:off x="85728" y="28575"/>
          <a:ext cx="6076948" cy="37147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ctr" rtl="0">
            <a:defRPr sz="1000"/>
          </a:pPr>
          <a:r>
            <a:rPr lang="fr-FR" sz="1200" b="1" i="0" u="none" strike="noStrike" baseline="0">
              <a:solidFill>
                <a:srgbClr val="FFFFFF"/>
              </a:solidFill>
              <a:latin typeface="Cambria"/>
            </a:rPr>
            <a:t>NOTE 16B Bis : ENGAGEMENTS DE RETRAITE ET AVANTAGES ASSIMILES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133350</xdr:colOff>
      <xdr:row>0</xdr:row>
      <xdr:rowOff>123826</xdr:rowOff>
    </xdr:from>
    <xdr:to>
      <xdr:col>2</xdr:col>
      <xdr:colOff>619125</xdr:colOff>
      <xdr:row>3</xdr:row>
      <xdr:rowOff>9526</xdr:rowOff>
    </xdr:to>
    <xdr:sp macro="" textlink="">
      <xdr:nvSpPr>
        <xdr:cNvPr id="6" name="Zone de texte 7">
          <a:extLst>
            <a:ext uri="{FF2B5EF4-FFF2-40B4-BE49-F238E27FC236}">
              <a16:creationId xmlns:a16="http://schemas.microsoft.com/office/drawing/2014/main" xmlns="" id="{8B10A2B6-FE82-43D8-A0C2-AE7815109D97}"/>
            </a:ext>
          </a:extLst>
        </xdr:cNvPr>
        <xdr:cNvSpPr txBox="1">
          <a:spLocks noChangeArrowheads="1"/>
        </xdr:cNvSpPr>
      </xdr:nvSpPr>
      <xdr:spPr bwMode="auto">
        <a:xfrm>
          <a:off x="133350" y="123826"/>
          <a:ext cx="5162550" cy="3429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ctr" rtl="0">
            <a:defRPr sz="1000"/>
          </a:pPr>
          <a:r>
            <a:rPr lang="fr-FR" sz="1400" b="1" i="0" u="none" strike="noStrike" baseline="0">
              <a:solidFill>
                <a:srgbClr val="FFFFFF"/>
              </a:solidFill>
              <a:latin typeface="Cambria"/>
            </a:rPr>
            <a:t>NOTE 16C : ACITIFS ET PASSIFS EVENTUELS</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xdr:colOff>
      <xdr:row>0</xdr:row>
      <xdr:rowOff>0</xdr:rowOff>
    </xdr:from>
    <xdr:to>
      <xdr:col>6</xdr:col>
      <xdr:colOff>676276</xdr:colOff>
      <xdr:row>3</xdr:row>
      <xdr:rowOff>0</xdr:rowOff>
    </xdr:to>
    <xdr:grpSp>
      <xdr:nvGrpSpPr>
        <xdr:cNvPr id="2" name="Group 408708">
          <a:extLst>
            <a:ext uri="{FF2B5EF4-FFF2-40B4-BE49-F238E27FC236}">
              <a16:creationId xmlns:a16="http://schemas.microsoft.com/office/drawing/2014/main" xmlns="" id="{7BD1249F-617C-418F-A9A7-A9E885D7C431}"/>
            </a:ext>
          </a:extLst>
        </xdr:cNvPr>
        <xdr:cNvGrpSpPr/>
      </xdr:nvGrpSpPr>
      <xdr:grpSpPr>
        <a:xfrm>
          <a:off x="2" y="0"/>
          <a:ext cx="8258174" cy="457200"/>
          <a:chOff x="0" y="-10873"/>
          <a:chExt cx="5848350" cy="395048"/>
        </a:xfrm>
      </xdr:grpSpPr>
      <xdr:sp macro="" textlink="">
        <xdr:nvSpPr>
          <xdr:cNvPr id="3" name="Rectangle 2">
            <a:extLst>
              <a:ext uri="{FF2B5EF4-FFF2-40B4-BE49-F238E27FC236}">
                <a16:creationId xmlns:a16="http://schemas.microsoft.com/office/drawing/2014/main" xmlns="" id="{ED9EF725-1B68-441C-9C17-707B322E769E}"/>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38">
            <a:extLst>
              <a:ext uri="{FF2B5EF4-FFF2-40B4-BE49-F238E27FC236}">
                <a16:creationId xmlns:a16="http://schemas.microsoft.com/office/drawing/2014/main" xmlns="" id="{3C4F5A6F-2FB0-47AA-AF12-D54B52E6679D}"/>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39">
            <a:extLst>
              <a:ext uri="{FF2B5EF4-FFF2-40B4-BE49-F238E27FC236}">
                <a16:creationId xmlns:a16="http://schemas.microsoft.com/office/drawing/2014/main" xmlns="" id="{B9B827CB-89FF-4FCE-971D-EB6DDAEC0152}"/>
              </a:ext>
            </a:extLst>
          </xdr:cNvPr>
          <xdr:cNvSpPr/>
        </xdr:nvSpPr>
        <xdr:spPr>
          <a:xfrm>
            <a:off x="76200" y="-10873"/>
            <a:ext cx="5772150" cy="318848"/>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076">
            <a:extLst>
              <a:ext uri="{FF2B5EF4-FFF2-40B4-BE49-F238E27FC236}">
                <a16:creationId xmlns:a16="http://schemas.microsoft.com/office/drawing/2014/main" xmlns="" id="{2136D1DF-BA25-4EA5-AA79-6328EC07027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33B3E107-F2B2-4D3C-B778-F28610D8744C}"/>
              </a:ext>
            </a:extLst>
          </xdr:cNvPr>
          <xdr:cNvSpPr/>
        </xdr:nvSpPr>
        <xdr:spPr>
          <a:xfrm>
            <a:off x="1181862" y="79618"/>
            <a:ext cx="1116026"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17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163C4E2A-2DFF-42FB-8570-A08AADCBCE75}"/>
              </a:ext>
            </a:extLst>
          </xdr:cNvPr>
          <xdr:cNvSpPr/>
        </xdr:nvSpPr>
        <xdr:spPr>
          <a:xfrm>
            <a:off x="1769302" y="79658"/>
            <a:ext cx="3871568" cy="237109"/>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FOURNISSEURS D'EXPLOITATION</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A31664E4-87A1-4995-BF58-B8D9ACE56CA0}"/>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66675</xdr:rowOff>
    </xdr:from>
    <xdr:to>
      <xdr:col>7</xdr:col>
      <xdr:colOff>695325</xdr:colOff>
      <xdr:row>2</xdr:row>
      <xdr:rowOff>114301</xdr:rowOff>
    </xdr:to>
    <xdr:grpSp>
      <xdr:nvGrpSpPr>
        <xdr:cNvPr id="2" name="Group 409191">
          <a:extLst>
            <a:ext uri="{FF2B5EF4-FFF2-40B4-BE49-F238E27FC236}">
              <a16:creationId xmlns:a16="http://schemas.microsoft.com/office/drawing/2014/main" xmlns="" id="{D97205C2-074C-46DA-8AC8-A59B492ADC9E}"/>
            </a:ext>
          </a:extLst>
        </xdr:cNvPr>
        <xdr:cNvGrpSpPr/>
      </xdr:nvGrpSpPr>
      <xdr:grpSpPr>
        <a:xfrm>
          <a:off x="0" y="66675"/>
          <a:ext cx="9363075" cy="438151"/>
          <a:chOff x="-227054" y="0"/>
          <a:chExt cx="6075405" cy="400050"/>
        </a:xfrm>
      </xdr:grpSpPr>
      <xdr:sp macro="" textlink="">
        <xdr:nvSpPr>
          <xdr:cNvPr id="3" name="Rectangle 2">
            <a:extLst>
              <a:ext uri="{FF2B5EF4-FFF2-40B4-BE49-F238E27FC236}">
                <a16:creationId xmlns:a16="http://schemas.microsoft.com/office/drawing/2014/main" xmlns="" id="{BA471351-107C-43E3-8282-67B88D3E3319}"/>
              </a:ext>
            </a:extLst>
          </xdr:cNvPr>
          <xdr:cNvSpPr/>
        </xdr:nvSpPr>
        <xdr:spPr>
          <a:xfrm>
            <a:off x="79680" y="2740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46">
            <a:extLst>
              <a:ext uri="{FF2B5EF4-FFF2-40B4-BE49-F238E27FC236}">
                <a16:creationId xmlns:a16="http://schemas.microsoft.com/office/drawing/2014/main" xmlns="" id="{6BB56810-5C25-43DD-98D7-FE9C56A4E13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47">
            <a:extLst>
              <a:ext uri="{FF2B5EF4-FFF2-40B4-BE49-F238E27FC236}">
                <a16:creationId xmlns:a16="http://schemas.microsoft.com/office/drawing/2014/main" xmlns="" id="{1B881E23-98D7-4EAE-BF80-717044AD8901}"/>
              </a:ext>
            </a:extLst>
          </xdr:cNvPr>
          <xdr:cNvSpPr/>
        </xdr:nvSpPr>
        <xdr:spPr>
          <a:xfrm>
            <a:off x="-227054" y="0"/>
            <a:ext cx="6033505"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48252">
            <a:extLst>
              <a:ext uri="{FF2B5EF4-FFF2-40B4-BE49-F238E27FC236}">
                <a16:creationId xmlns:a16="http://schemas.microsoft.com/office/drawing/2014/main" xmlns="" id="{F0BA4A5D-9E29-4792-AC49-6E00EDE0ED2F}"/>
              </a:ext>
            </a:extLst>
          </xdr:cNvPr>
          <xdr:cNvSpPr/>
        </xdr:nvSpPr>
        <xdr:spPr>
          <a:xfrm>
            <a:off x="-196827" y="0"/>
            <a:ext cx="6045178"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E11AA015-974C-4EB5-9214-6897B2CE8695}"/>
              </a:ext>
            </a:extLst>
          </xdr:cNvPr>
          <xdr:cNvSpPr/>
        </xdr:nvSpPr>
        <xdr:spPr>
          <a:xfrm>
            <a:off x="1269173" y="8697"/>
            <a:ext cx="1122823" cy="30781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18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F6342D15-5028-44CE-BC46-4787F8924025}"/>
              </a:ext>
            </a:extLst>
          </xdr:cNvPr>
          <xdr:cNvSpPr/>
        </xdr:nvSpPr>
        <xdr:spPr>
          <a:xfrm>
            <a:off x="1794059" y="17393"/>
            <a:ext cx="3687644" cy="382657"/>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DETTES FISCALES ET SOCIALES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314B75BC-0567-452B-B269-8AE1C6288563}"/>
              </a:ext>
            </a:extLst>
          </xdr:cNvPr>
          <xdr:cNvSpPr/>
        </xdr:nvSpPr>
        <xdr:spPr>
          <a:xfrm>
            <a:off x="4647693"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28575</xdr:rowOff>
    </xdr:from>
    <xdr:to>
      <xdr:col>7</xdr:col>
      <xdr:colOff>781050</xdr:colOff>
      <xdr:row>3</xdr:row>
      <xdr:rowOff>0</xdr:rowOff>
    </xdr:to>
    <xdr:grpSp>
      <xdr:nvGrpSpPr>
        <xdr:cNvPr id="6" name="Group 408708">
          <a:extLst>
            <a:ext uri="{FF2B5EF4-FFF2-40B4-BE49-F238E27FC236}">
              <a16:creationId xmlns:a16="http://schemas.microsoft.com/office/drawing/2014/main" xmlns="" id="{D60359E4-A355-4F28-958C-A409FD602A7E}"/>
            </a:ext>
          </a:extLst>
        </xdr:cNvPr>
        <xdr:cNvGrpSpPr/>
      </xdr:nvGrpSpPr>
      <xdr:grpSpPr>
        <a:xfrm>
          <a:off x="0" y="28575"/>
          <a:ext cx="10915650" cy="428625"/>
          <a:chOff x="0" y="0"/>
          <a:chExt cx="5848350" cy="384175"/>
        </a:xfrm>
      </xdr:grpSpPr>
      <xdr:sp macro="" textlink="">
        <xdr:nvSpPr>
          <xdr:cNvPr id="7" name="Rectangle 6">
            <a:extLst>
              <a:ext uri="{FF2B5EF4-FFF2-40B4-BE49-F238E27FC236}">
                <a16:creationId xmlns:a16="http://schemas.microsoft.com/office/drawing/2014/main" xmlns="" id="{2AED8ED5-3A11-4943-B478-518F084B9D64}"/>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38">
            <a:extLst>
              <a:ext uri="{FF2B5EF4-FFF2-40B4-BE49-F238E27FC236}">
                <a16:creationId xmlns:a16="http://schemas.microsoft.com/office/drawing/2014/main" xmlns="" id="{EF04ADAB-3F03-481C-8DEC-10930F5B1547}"/>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39">
            <a:extLst>
              <a:ext uri="{FF2B5EF4-FFF2-40B4-BE49-F238E27FC236}">
                <a16:creationId xmlns:a16="http://schemas.microsoft.com/office/drawing/2014/main" xmlns="" id="{10E8EA4E-F197-46ED-AD42-B34C4FFB2B58}"/>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8076">
            <a:extLst>
              <a:ext uri="{FF2B5EF4-FFF2-40B4-BE49-F238E27FC236}">
                <a16:creationId xmlns:a16="http://schemas.microsoft.com/office/drawing/2014/main" xmlns="" id="{0A10BE1B-788F-4B46-BBD6-50E95E42654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xmlns="" id="{12D76268-0A36-4B85-98BC-BA1E0133C9ED}"/>
              </a:ext>
            </a:extLst>
          </xdr:cNvPr>
          <xdr:cNvSpPr/>
        </xdr:nvSpPr>
        <xdr:spPr>
          <a:xfrm>
            <a:off x="1181862" y="79618"/>
            <a:ext cx="1116026"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19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C1DE8A02-3BAD-446D-A0BA-48B420164089}"/>
              </a:ext>
            </a:extLst>
          </xdr:cNvPr>
          <xdr:cNvSpPr/>
        </xdr:nvSpPr>
        <xdr:spPr>
          <a:xfrm>
            <a:off x="1668154" y="79618"/>
            <a:ext cx="3972717"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a:t>
            </a:r>
            <a:r>
              <a:rPr lang="fr-FR" sz="1400" b="1" baseline="0">
                <a:solidFill>
                  <a:srgbClr val="FFFFFF"/>
                </a:solidFill>
                <a:effectLst/>
                <a:latin typeface="Cambria" panose="02040503050406030204" pitchFamily="18" charset="0"/>
                <a:ea typeface="Cambria" panose="02040503050406030204" pitchFamily="18" charset="0"/>
                <a:cs typeface="Cambria" panose="02040503050406030204" pitchFamily="18" charset="0"/>
              </a:rPr>
              <a:t> DETTES ET PROVISIONS POUR RISQUES A COURT TERME</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xmlns="" id="{6FCB5C47-C6D2-4198-93B7-E45DF0496311}"/>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152401</xdr:colOff>
      <xdr:row>0</xdr:row>
      <xdr:rowOff>104774</xdr:rowOff>
    </xdr:from>
    <xdr:to>
      <xdr:col>3</xdr:col>
      <xdr:colOff>685801</xdr:colOff>
      <xdr:row>4</xdr:row>
      <xdr:rowOff>0</xdr:rowOff>
    </xdr:to>
    <xdr:grpSp>
      <xdr:nvGrpSpPr>
        <xdr:cNvPr id="6" name="Group 408708">
          <a:extLst>
            <a:ext uri="{FF2B5EF4-FFF2-40B4-BE49-F238E27FC236}">
              <a16:creationId xmlns:a16="http://schemas.microsoft.com/office/drawing/2014/main" xmlns="" id="{B04CABD9-E263-420A-9D3A-231239A2FBAC}"/>
            </a:ext>
          </a:extLst>
        </xdr:cNvPr>
        <xdr:cNvGrpSpPr/>
      </xdr:nvGrpSpPr>
      <xdr:grpSpPr>
        <a:xfrm>
          <a:off x="152401" y="104774"/>
          <a:ext cx="5753100" cy="504826"/>
          <a:chOff x="0" y="-17869"/>
          <a:chExt cx="5848350" cy="482453"/>
        </a:xfrm>
      </xdr:grpSpPr>
      <xdr:sp macro="" textlink="">
        <xdr:nvSpPr>
          <xdr:cNvPr id="7" name="Rectangle 6">
            <a:extLst>
              <a:ext uri="{FF2B5EF4-FFF2-40B4-BE49-F238E27FC236}">
                <a16:creationId xmlns:a16="http://schemas.microsoft.com/office/drawing/2014/main" xmlns="" id="{EB6CC91C-C12B-43AB-A211-9C1F711E24E8}"/>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38">
            <a:extLst>
              <a:ext uri="{FF2B5EF4-FFF2-40B4-BE49-F238E27FC236}">
                <a16:creationId xmlns:a16="http://schemas.microsoft.com/office/drawing/2014/main" xmlns="" id="{19B23EF4-11BA-4924-9A07-F02FF4565CB0}"/>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39">
            <a:extLst>
              <a:ext uri="{FF2B5EF4-FFF2-40B4-BE49-F238E27FC236}">
                <a16:creationId xmlns:a16="http://schemas.microsoft.com/office/drawing/2014/main" xmlns="" id="{1090BCC7-8DEB-44EF-AF46-15FC70DCEC9D}"/>
              </a:ext>
            </a:extLst>
          </xdr:cNvPr>
          <xdr:cNvSpPr/>
        </xdr:nvSpPr>
        <xdr:spPr>
          <a:xfrm>
            <a:off x="56172" y="-17869"/>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8076">
            <a:extLst>
              <a:ext uri="{FF2B5EF4-FFF2-40B4-BE49-F238E27FC236}">
                <a16:creationId xmlns:a16="http://schemas.microsoft.com/office/drawing/2014/main" xmlns="" id="{A1AEBF91-6B06-4A27-8FDA-91B221D4DB27}"/>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xmlns="" id="{4E952636-B3DF-4BE9-868B-C55530397E77}"/>
              </a:ext>
            </a:extLst>
          </xdr:cNvPr>
          <xdr:cNvSpPr/>
        </xdr:nvSpPr>
        <xdr:spPr>
          <a:xfrm>
            <a:off x="230328" y="26803"/>
            <a:ext cx="1933943" cy="28103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20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E775471B-7B53-46B4-9321-F801B35CE13E}"/>
              </a:ext>
            </a:extLst>
          </xdr:cNvPr>
          <xdr:cNvSpPr/>
        </xdr:nvSpPr>
        <xdr:spPr>
          <a:xfrm>
            <a:off x="1101572" y="26803"/>
            <a:ext cx="4539299" cy="437781"/>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libri" panose="020F0502020204030204" pitchFamily="34" charset="0"/>
              </a:rPr>
              <a:t>BANQUES,</a:t>
            </a:r>
            <a:r>
              <a:rPr lang="fr-FR" sz="1400" b="1" baseline="0">
                <a:solidFill>
                  <a:srgbClr val="FFFFFF"/>
                </a:solidFill>
                <a:effectLst/>
                <a:latin typeface="Cambria" panose="02040503050406030204" pitchFamily="18" charset="0"/>
                <a:ea typeface="Calibri" panose="020F0502020204030204" pitchFamily="34" charset="0"/>
              </a:rPr>
              <a:t> CREDIT D'ESCOMPTE ET DE TRESORERIE</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xmlns="" id="{2FCFDFF4-6141-4B90-B5AB-B8587ECA2C78}"/>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152401</xdr:colOff>
      <xdr:row>1</xdr:row>
      <xdr:rowOff>123824</xdr:rowOff>
    </xdr:from>
    <xdr:to>
      <xdr:col>4</xdr:col>
      <xdr:colOff>19050</xdr:colOff>
      <xdr:row>4</xdr:row>
      <xdr:rowOff>76200</xdr:rowOff>
    </xdr:to>
    <xdr:grpSp>
      <xdr:nvGrpSpPr>
        <xdr:cNvPr id="6" name="Group 408708">
          <a:extLst>
            <a:ext uri="{FF2B5EF4-FFF2-40B4-BE49-F238E27FC236}">
              <a16:creationId xmlns:a16="http://schemas.microsoft.com/office/drawing/2014/main" xmlns="" id="{29E7DC78-7C9C-47AE-ABA6-D3BFB180F5D2}"/>
            </a:ext>
          </a:extLst>
        </xdr:cNvPr>
        <xdr:cNvGrpSpPr/>
      </xdr:nvGrpSpPr>
      <xdr:grpSpPr>
        <a:xfrm>
          <a:off x="152401" y="276224"/>
          <a:ext cx="6953249" cy="409576"/>
          <a:chOff x="0" y="0"/>
          <a:chExt cx="6446787" cy="384175"/>
        </a:xfrm>
      </xdr:grpSpPr>
      <xdr:sp macro="" textlink="">
        <xdr:nvSpPr>
          <xdr:cNvPr id="7" name="Rectangle 6">
            <a:extLst>
              <a:ext uri="{FF2B5EF4-FFF2-40B4-BE49-F238E27FC236}">
                <a16:creationId xmlns:a16="http://schemas.microsoft.com/office/drawing/2014/main" xmlns="" id="{3C198D13-626A-40CF-A2C0-1ED8522FC4FD}"/>
              </a:ext>
            </a:extLst>
          </xdr:cNvPr>
          <xdr:cNvSpPr/>
        </xdr:nvSpPr>
        <xdr:spPr>
          <a:xfrm>
            <a:off x="73965" y="1391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Shape 508338">
            <a:extLst>
              <a:ext uri="{FF2B5EF4-FFF2-40B4-BE49-F238E27FC236}">
                <a16:creationId xmlns:a16="http://schemas.microsoft.com/office/drawing/2014/main" xmlns="" id="{A6BEA7F9-D80A-4811-B0F3-C93E49A29E0A}"/>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9" name="Shape 508339">
            <a:extLst>
              <a:ext uri="{FF2B5EF4-FFF2-40B4-BE49-F238E27FC236}">
                <a16:creationId xmlns:a16="http://schemas.microsoft.com/office/drawing/2014/main" xmlns="" id="{53251466-FA09-4150-9200-2F14D1FDF54F}"/>
              </a:ext>
            </a:extLst>
          </xdr:cNvPr>
          <xdr:cNvSpPr/>
        </xdr:nvSpPr>
        <xdr:spPr>
          <a:xfrm>
            <a:off x="76200" y="0"/>
            <a:ext cx="5927084"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0" name="Shape 48076">
            <a:extLst>
              <a:ext uri="{FF2B5EF4-FFF2-40B4-BE49-F238E27FC236}">
                <a16:creationId xmlns:a16="http://schemas.microsoft.com/office/drawing/2014/main" xmlns="" id="{B32C6E5B-EFE2-409E-A789-69CBFF2B50F7}"/>
              </a:ext>
            </a:extLst>
          </xdr:cNvPr>
          <xdr:cNvSpPr/>
        </xdr:nvSpPr>
        <xdr:spPr>
          <a:xfrm>
            <a:off x="76200" y="0"/>
            <a:ext cx="5948075"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1" name="Rectangle 10">
            <a:extLst>
              <a:ext uri="{FF2B5EF4-FFF2-40B4-BE49-F238E27FC236}">
                <a16:creationId xmlns:a16="http://schemas.microsoft.com/office/drawing/2014/main" xmlns="" id="{F18EF68A-304F-4D85-9573-D3A5AD8063C3}"/>
              </a:ext>
            </a:extLst>
          </xdr:cNvPr>
          <xdr:cNvSpPr/>
        </xdr:nvSpPr>
        <xdr:spPr>
          <a:xfrm>
            <a:off x="921791" y="26805"/>
            <a:ext cx="1636855" cy="272096"/>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21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2C67C2AA-D0D1-4FB3-B9A8-D6FD299F2890}"/>
              </a:ext>
            </a:extLst>
          </xdr:cNvPr>
          <xdr:cNvSpPr/>
        </xdr:nvSpPr>
        <xdr:spPr>
          <a:xfrm>
            <a:off x="1703846" y="17869"/>
            <a:ext cx="4742941" cy="254229"/>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CFIFFRE D'AFFAIRES ET AUTRES PRODUITS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Rectangle 12">
            <a:extLst>
              <a:ext uri="{FF2B5EF4-FFF2-40B4-BE49-F238E27FC236}">
                <a16:creationId xmlns:a16="http://schemas.microsoft.com/office/drawing/2014/main" xmlns="" id="{C11558C6-5260-4C8B-A365-1D16FD8AFE0C}"/>
              </a:ext>
            </a:extLst>
          </xdr:cNvPr>
          <xdr:cNvSpPr/>
        </xdr:nvSpPr>
        <xdr:spPr>
          <a:xfrm>
            <a:off x="4742561" y="7961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190501</xdr:colOff>
      <xdr:row>0</xdr:row>
      <xdr:rowOff>114300</xdr:rowOff>
    </xdr:from>
    <xdr:to>
      <xdr:col>3</xdr:col>
      <xdr:colOff>685800</xdr:colOff>
      <xdr:row>3</xdr:row>
      <xdr:rowOff>104775</xdr:rowOff>
    </xdr:to>
    <xdr:grpSp>
      <xdr:nvGrpSpPr>
        <xdr:cNvPr id="9" name="Group 412989">
          <a:extLst>
            <a:ext uri="{FF2B5EF4-FFF2-40B4-BE49-F238E27FC236}">
              <a16:creationId xmlns:a16="http://schemas.microsoft.com/office/drawing/2014/main" xmlns="" id="{CB7B7A04-BAF1-49D6-A9FC-2B859F416CD4}"/>
            </a:ext>
          </a:extLst>
        </xdr:cNvPr>
        <xdr:cNvGrpSpPr/>
      </xdr:nvGrpSpPr>
      <xdr:grpSpPr>
        <a:xfrm>
          <a:off x="190501" y="114300"/>
          <a:ext cx="5953124" cy="447675"/>
          <a:chOff x="0" y="0"/>
          <a:chExt cx="5848350" cy="384175"/>
        </a:xfrm>
      </xdr:grpSpPr>
      <xdr:sp macro="" textlink="">
        <xdr:nvSpPr>
          <xdr:cNvPr id="10" name="Rectangle 9">
            <a:extLst>
              <a:ext uri="{FF2B5EF4-FFF2-40B4-BE49-F238E27FC236}">
                <a16:creationId xmlns:a16="http://schemas.microsoft.com/office/drawing/2014/main" xmlns="" id="{6E676F44-8C29-4A9D-9AC2-9069F6ADCDFE}"/>
              </a:ext>
            </a:extLst>
          </xdr:cNvPr>
          <xdr:cNvSpPr/>
        </xdr:nvSpPr>
        <xdr:spPr>
          <a:xfrm>
            <a:off x="54915" y="132207"/>
            <a:ext cx="42144" cy="189937"/>
          </a:xfrm>
          <a:prstGeom prst="rect">
            <a:avLst/>
          </a:prstGeom>
          <a:ln>
            <a:noFill/>
          </a:ln>
        </xdr:spPr>
        <xdr:txBody>
          <a:bodyPr lIns="0" tIns="0" rIns="0" bIns="0" rtlCol="0">
            <a:noAutofit/>
          </a:bodyPr>
          <a:lstStyle/>
          <a:p>
            <a:pPr>
              <a:lnSpc>
                <a:spcPct val="115000"/>
              </a:lnSpc>
              <a:spcAft>
                <a:spcPts val="0"/>
              </a:spcAft>
            </a:pPr>
            <a:r>
              <a:rPr lang="fr-FR" sz="1100">
                <a:solidFill>
                  <a:srgbClr val="000000"/>
                </a:solidFill>
                <a:effectLst/>
                <a:latin typeface="Calibri" panose="020F0502020204030204" pitchFamily="34" charset="0"/>
                <a:ea typeface="Calibri" panose="020F0502020204030204" pitchFamily="34" charset="0"/>
              </a:rPr>
              <a:t> </a:t>
            </a:r>
          </a:p>
        </xdr:txBody>
      </xdr:sp>
      <xdr:sp macro="" textlink="">
        <xdr:nvSpPr>
          <xdr:cNvPr id="11" name="Shape 508394">
            <a:extLst>
              <a:ext uri="{FF2B5EF4-FFF2-40B4-BE49-F238E27FC236}">
                <a16:creationId xmlns:a16="http://schemas.microsoft.com/office/drawing/2014/main" xmlns="" id="{2C9C5594-D489-40D5-BD79-07BFEAC2527B}"/>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12" name="Shape 508395">
            <a:extLst>
              <a:ext uri="{FF2B5EF4-FFF2-40B4-BE49-F238E27FC236}">
                <a16:creationId xmlns:a16="http://schemas.microsoft.com/office/drawing/2014/main" xmlns="" id="{0EB0AB95-D84F-45AB-AE9A-20C956370494}"/>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13" name="Shape 51751">
            <a:extLst>
              <a:ext uri="{FF2B5EF4-FFF2-40B4-BE49-F238E27FC236}">
                <a16:creationId xmlns:a16="http://schemas.microsoft.com/office/drawing/2014/main" xmlns="" id="{921107D7-39D1-47CC-A95C-2B7B2FF2DE6A}"/>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14" name="Rectangle 13">
            <a:extLst>
              <a:ext uri="{FF2B5EF4-FFF2-40B4-BE49-F238E27FC236}">
                <a16:creationId xmlns:a16="http://schemas.microsoft.com/office/drawing/2014/main" xmlns="" id="{D4485DAA-E914-424C-9F8D-4181E34EBC11}"/>
              </a:ext>
            </a:extLst>
          </xdr:cNvPr>
          <xdr:cNvSpPr/>
        </xdr:nvSpPr>
        <xdr:spPr>
          <a:xfrm>
            <a:off x="2210181" y="80381"/>
            <a:ext cx="2004389" cy="17819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22 : ACHATS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5" name="Rectangle 14">
            <a:extLst>
              <a:ext uri="{FF2B5EF4-FFF2-40B4-BE49-F238E27FC236}">
                <a16:creationId xmlns:a16="http://schemas.microsoft.com/office/drawing/2014/main" xmlns="" id="{AA9A93F2-881F-4E40-B0E0-CEDAC28D416F}"/>
              </a:ext>
            </a:extLst>
          </xdr:cNvPr>
          <xdr:cNvSpPr/>
        </xdr:nvSpPr>
        <xdr:spPr>
          <a:xfrm>
            <a:off x="3716147" y="80381"/>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19051</xdr:colOff>
      <xdr:row>0</xdr:row>
      <xdr:rowOff>47624</xdr:rowOff>
    </xdr:from>
    <xdr:to>
      <xdr:col>3</xdr:col>
      <xdr:colOff>638176</xdr:colOff>
      <xdr:row>2</xdr:row>
      <xdr:rowOff>142876</xdr:rowOff>
    </xdr:to>
    <xdr:grpSp>
      <xdr:nvGrpSpPr>
        <xdr:cNvPr id="2" name="Group 413264">
          <a:extLst>
            <a:ext uri="{FF2B5EF4-FFF2-40B4-BE49-F238E27FC236}">
              <a16:creationId xmlns:a16="http://schemas.microsoft.com/office/drawing/2014/main" xmlns="" id="{5A877D46-1951-46EA-BE9D-B5C690728E4C}"/>
            </a:ext>
          </a:extLst>
        </xdr:cNvPr>
        <xdr:cNvGrpSpPr/>
      </xdr:nvGrpSpPr>
      <xdr:grpSpPr>
        <a:xfrm>
          <a:off x="19051" y="47624"/>
          <a:ext cx="5553075" cy="400052"/>
          <a:chOff x="0" y="0"/>
          <a:chExt cx="5848350" cy="417112"/>
        </a:xfrm>
      </xdr:grpSpPr>
      <xdr:sp macro="" textlink="">
        <xdr:nvSpPr>
          <xdr:cNvPr id="3" name="Rectangle 2">
            <a:extLst>
              <a:ext uri="{FF2B5EF4-FFF2-40B4-BE49-F238E27FC236}">
                <a16:creationId xmlns:a16="http://schemas.microsoft.com/office/drawing/2014/main" xmlns="" id="{C5AA3979-0FE5-44B7-A3F0-1E76A1313DC6}"/>
              </a:ext>
            </a:extLst>
          </xdr:cNvPr>
          <xdr:cNvSpPr/>
        </xdr:nvSpPr>
        <xdr:spPr>
          <a:xfrm>
            <a:off x="124765" y="248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Rectangle 3">
            <a:extLst>
              <a:ext uri="{FF2B5EF4-FFF2-40B4-BE49-F238E27FC236}">
                <a16:creationId xmlns:a16="http://schemas.microsoft.com/office/drawing/2014/main" xmlns="" id="{1C9BD6C4-54F9-4157-97BF-EDCAFAAC048A}"/>
              </a:ext>
            </a:extLst>
          </xdr:cNvPr>
          <xdr:cNvSpPr/>
        </xdr:nvSpPr>
        <xdr:spPr>
          <a:xfrm>
            <a:off x="124765" y="373820"/>
            <a:ext cx="4054" cy="17950"/>
          </a:xfrm>
          <a:prstGeom prst="rect">
            <a:avLst/>
          </a:prstGeom>
          <a:ln>
            <a:noFill/>
          </a:ln>
        </xdr:spPr>
        <xdr:txBody>
          <a:bodyPr lIns="0" tIns="0" rIns="0" bIns="0" rtlCol="0">
            <a:noAutofit/>
          </a:bodyPr>
          <a:lstStyle/>
          <a:p>
            <a:pPr>
              <a:lnSpc>
                <a:spcPct val="115000"/>
              </a:lnSpc>
              <a:spcAft>
                <a:spcPts val="0"/>
              </a:spcAft>
            </a:pPr>
            <a:r>
              <a:rPr lang="fr-FR" sz="1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 name="Shape 508396">
            <a:extLst>
              <a:ext uri="{FF2B5EF4-FFF2-40B4-BE49-F238E27FC236}">
                <a16:creationId xmlns:a16="http://schemas.microsoft.com/office/drawing/2014/main" xmlns="" id="{D39B9D36-4EA4-4602-8890-CC1F2BAE5384}"/>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6" name="Shape 508397">
            <a:extLst>
              <a:ext uri="{FF2B5EF4-FFF2-40B4-BE49-F238E27FC236}">
                <a16:creationId xmlns:a16="http://schemas.microsoft.com/office/drawing/2014/main" xmlns="" id="{78D3A076-4C45-4DCF-9EB8-2E7408BFB8B9}"/>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7" name="Shape 52047">
            <a:extLst>
              <a:ext uri="{FF2B5EF4-FFF2-40B4-BE49-F238E27FC236}">
                <a16:creationId xmlns:a16="http://schemas.microsoft.com/office/drawing/2014/main" xmlns="" id="{9AC4F7B1-0BE9-498E-A100-E0A14A3653BF}"/>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8" name="Rectangle 7">
            <a:extLst>
              <a:ext uri="{FF2B5EF4-FFF2-40B4-BE49-F238E27FC236}">
                <a16:creationId xmlns:a16="http://schemas.microsoft.com/office/drawing/2014/main" xmlns="" id="{52011E8C-DFED-4AFA-B8FC-82538C4F3E79}"/>
              </a:ext>
            </a:extLst>
          </xdr:cNvPr>
          <xdr:cNvSpPr/>
        </xdr:nvSpPr>
        <xdr:spPr>
          <a:xfrm>
            <a:off x="2009433" y="19864"/>
            <a:ext cx="1119684" cy="39724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23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BE7E1B19-045D-4C7A-AF68-FAA99F049FC7}"/>
              </a:ext>
            </a:extLst>
          </xdr:cNvPr>
          <xdr:cNvSpPr/>
        </xdr:nvSpPr>
        <xdr:spPr>
          <a:xfrm>
            <a:off x="2919521" y="29795"/>
            <a:ext cx="1437669" cy="267365"/>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TRANSPORTS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0" name="Rectangle 9">
            <a:extLst>
              <a:ext uri="{FF2B5EF4-FFF2-40B4-BE49-F238E27FC236}">
                <a16:creationId xmlns:a16="http://schemas.microsoft.com/office/drawing/2014/main" xmlns="" id="{FBCFC8EE-597B-4FFD-A035-A0B5165B0BF4}"/>
              </a:ext>
            </a:extLst>
          </xdr:cNvPr>
          <xdr:cNvSpPr/>
        </xdr:nvSpPr>
        <xdr:spPr>
          <a:xfrm>
            <a:off x="3939921" y="79873"/>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123826</xdr:colOff>
      <xdr:row>0</xdr:row>
      <xdr:rowOff>66675</xdr:rowOff>
    </xdr:from>
    <xdr:to>
      <xdr:col>3</xdr:col>
      <xdr:colOff>685801</xdr:colOff>
      <xdr:row>2</xdr:row>
      <xdr:rowOff>95249</xdr:rowOff>
    </xdr:to>
    <xdr:grpSp>
      <xdr:nvGrpSpPr>
        <xdr:cNvPr id="2" name="Group 413829">
          <a:extLst>
            <a:ext uri="{FF2B5EF4-FFF2-40B4-BE49-F238E27FC236}">
              <a16:creationId xmlns:a16="http://schemas.microsoft.com/office/drawing/2014/main" xmlns="" id="{AC31EE48-6015-4A29-955A-BDBF13072288}"/>
            </a:ext>
          </a:extLst>
        </xdr:cNvPr>
        <xdr:cNvGrpSpPr/>
      </xdr:nvGrpSpPr>
      <xdr:grpSpPr>
        <a:xfrm>
          <a:off x="123826" y="66675"/>
          <a:ext cx="6219825" cy="333374"/>
          <a:chOff x="0" y="-23282"/>
          <a:chExt cx="5848350" cy="407457"/>
        </a:xfrm>
      </xdr:grpSpPr>
      <xdr:sp macro="" textlink="">
        <xdr:nvSpPr>
          <xdr:cNvPr id="3" name="Rectangle 2">
            <a:extLst>
              <a:ext uri="{FF2B5EF4-FFF2-40B4-BE49-F238E27FC236}">
                <a16:creationId xmlns:a16="http://schemas.microsoft.com/office/drawing/2014/main" xmlns="" id="{7432DA38-E576-4280-AC4B-D02B9CF54E82}"/>
              </a:ext>
            </a:extLst>
          </xdr:cNvPr>
          <xdr:cNvSpPr/>
        </xdr:nvSpPr>
        <xdr:spPr>
          <a:xfrm>
            <a:off x="89840" y="50266"/>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398">
            <a:extLst>
              <a:ext uri="{FF2B5EF4-FFF2-40B4-BE49-F238E27FC236}">
                <a16:creationId xmlns:a16="http://schemas.microsoft.com/office/drawing/2014/main" xmlns="" id="{FA6BAE45-B600-49D5-850F-E0043F9A430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399">
            <a:extLst>
              <a:ext uri="{FF2B5EF4-FFF2-40B4-BE49-F238E27FC236}">
                <a16:creationId xmlns:a16="http://schemas.microsoft.com/office/drawing/2014/main" xmlns="" id="{74C4B8F2-80C7-4167-89E9-92DF45550A6B}"/>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2545">
            <a:extLst>
              <a:ext uri="{FF2B5EF4-FFF2-40B4-BE49-F238E27FC236}">
                <a16:creationId xmlns:a16="http://schemas.microsoft.com/office/drawing/2014/main" xmlns="" id="{F2D33929-C9D0-4CFD-94A3-01E4A29B7582}"/>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C28CE589-8D3B-4B2B-9D86-2E7E460C4676}"/>
              </a:ext>
            </a:extLst>
          </xdr:cNvPr>
          <xdr:cNvSpPr/>
        </xdr:nvSpPr>
        <xdr:spPr>
          <a:xfrm>
            <a:off x="1635636" y="-23282"/>
            <a:ext cx="1093037" cy="339797"/>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24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0E57106C-2412-46E2-93FA-41C6CB322F06}"/>
              </a:ext>
            </a:extLst>
          </xdr:cNvPr>
          <xdr:cNvSpPr/>
        </xdr:nvSpPr>
        <xdr:spPr>
          <a:xfrm>
            <a:off x="2472473" y="-23282"/>
            <a:ext cx="2455502" cy="339797"/>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SERVICES EXTERIEURS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5A1A5463-B5C7-49F5-A91E-A0CEF1E2F00C}"/>
              </a:ext>
            </a:extLst>
          </xdr:cNvPr>
          <xdr:cNvSpPr/>
        </xdr:nvSpPr>
        <xdr:spPr>
          <a:xfrm>
            <a:off x="4313428" y="79365"/>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190500</xdr:colOff>
      <xdr:row>0</xdr:row>
      <xdr:rowOff>161925</xdr:rowOff>
    </xdr:from>
    <xdr:to>
      <xdr:col>3</xdr:col>
      <xdr:colOff>628650</xdr:colOff>
      <xdr:row>2</xdr:row>
      <xdr:rowOff>180975</xdr:rowOff>
    </xdr:to>
    <xdr:grpSp>
      <xdr:nvGrpSpPr>
        <xdr:cNvPr id="2" name="Group 414119">
          <a:extLst>
            <a:ext uri="{FF2B5EF4-FFF2-40B4-BE49-F238E27FC236}">
              <a16:creationId xmlns:a16="http://schemas.microsoft.com/office/drawing/2014/main" xmlns="" id="{84BE323D-1383-4B6A-A1FF-245BF5A8C794}"/>
            </a:ext>
          </a:extLst>
        </xdr:cNvPr>
        <xdr:cNvGrpSpPr/>
      </xdr:nvGrpSpPr>
      <xdr:grpSpPr>
        <a:xfrm>
          <a:off x="190500" y="161925"/>
          <a:ext cx="5429250" cy="419100"/>
          <a:chOff x="0" y="0"/>
          <a:chExt cx="5848350" cy="384175"/>
        </a:xfrm>
      </xdr:grpSpPr>
      <xdr:sp macro="" textlink="">
        <xdr:nvSpPr>
          <xdr:cNvPr id="3" name="Rectangle 2">
            <a:extLst>
              <a:ext uri="{FF2B5EF4-FFF2-40B4-BE49-F238E27FC236}">
                <a16:creationId xmlns:a16="http://schemas.microsoft.com/office/drawing/2014/main" xmlns="" id="{C650E2E7-F53C-4248-8C4D-0F985A659DDE}"/>
              </a:ext>
            </a:extLst>
          </xdr:cNvPr>
          <xdr:cNvSpPr/>
        </xdr:nvSpPr>
        <xdr:spPr>
          <a:xfrm>
            <a:off x="33325" y="39471"/>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400">
            <a:extLst>
              <a:ext uri="{FF2B5EF4-FFF2-40B4-BE49-F238E27FC236}">
                <a16:creationId xmlns:a16="http://schemas.microsoft.com/office/drawing/2014/main" xmlns="" id="{46DC9ABD-D601-4543-BF57-1884239E040A}"/>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401">
            <a:extLst>
              <a:ext uri="{FF2B5EF4-FFF2-40B4-BE49-F238E27FC236}">
                <a16:creationId xmlns:a16="http://schemas.microsoft.com/office/drawing/2014/main" xmlns="" id="{26E5E21F-914F-403D-9B1B-8F31FF32B797}"/>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2841">
            <a:extLst>
              <a:ext uri="{FF2B5EF4-FFF2-40B4-BE49-F238E27FC236}">
                <a16:creationId xmlns:a16="http://schemas.microsoft.com/office/drawing/2014/main" xmlns="" id="{4CAD0FB8-6335-4CB1-A6BE-EECBBD750A31}"/>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08B737BC-EC70-4519-818D-AEDAC27F8AB3}"/>
              </a:ext>
            </a:extLst>
          </xdr:cNvPr>
          <xdr:cNvSpPr/>
        </xdr:nvSpPr>
        <xdr:spPr>
          <a:xfrm>
            <a:off x="1785171" y="43657"/>
            <a:ext cx="1135399" cy="274256"/>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25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F3EA5433-AE2D-4528-A04B-B15828A316EA}"/>
              </a:ext>
            </a:extLst>
          </xdr:cNvPr>
          <xdr:cNvSpPr/>
        </xdr:nvSpPr>
        <xdr:spPr>
          <a:xfrm>
            <a:off x="2618215" y="43656"/>
            <a:ext cx="1993681" cy="248063"/>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IMPOTS ET TAXES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BB376D9F-CC48-48D6-868F-6ED2BAB23C26}"/>
              </a:ext>
            </a:extLst>
          </xdr:cNvPr>
          <xdr:cNvSpPr/>
        </xdr:nvSpPr>
        <xdr:spPr>
          <a:xfrm>
            <a:off x="4122801" y="80762"/>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66675</xdr:rowOff>
    </xdr:from>
    <xdr:to>
      <xdr:col>3</xdr:col>
      <xdr:colOff>647700</xdr:colOff>
      <xdr:row>2</xdr:row>
      <xdr:rowOff>79375</xdr:rowOff>
    </xdr:to>
    <xdr:grpSp>
      <xdr:nvGrpSpPr>
        <xdr:cNvPr id="2" name="Group 414525">
          <a:extLst>
            <a:ext uri="{FF2B5EF4-FFF2-40B4-BE49-F238E27FC236}">
              <a16:creationId xmlns:a16="http://schemas.microsoft.com/office/drawing/2014/main" xmlns="" id="{6AEC0379-6D2B-45ED-BC09-C243E60577A2}"/>
            </a:ext>
          </a:extLst>
        </xdr:cNvPr>
        <xdr:cNvGrpSpPr/>
      </xdr:nvGrpSpPr>
      <xdr:grpSpPr>
        <a:xfrm>
          <a:off x="0" y="66675"/>
          <a:ext cx="6200775" cy="317500"/>
          <a:chOff x="0" y="-24522"/>
          <a:chExt cx="5848350" cy="408697"/>
        </a:xfrm>
      </xdr:grpSpPr>
      <xdr:sp macro="" textlink="">
        <xdr:nvSpPr>
          <xdr:cNvPr id="3" name="Rectangle 2">
            <a:extLst>
              <a:ext uri="{FF2B5EF4-FFF2-40B4-BE49-F238E27FC236}">
                <a16:creationId xmlns:a16="http://schemas.microsoft.com/office/drawing/2014/main" xmlns="" id="{929C4C62-7BE5-49F7-B1CC-46FFE25BED8A}"/>
              </a:ext>
            </a:extLst>
          </xdr:cNvPr>
          <xdr:cNvSpPr/>
        </xdr:nvSpPr>
        <xdr:spPr>
          <a:xfrm>
            <a:off x="101905" y="33121"/>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402">
            <a:extLst>
              <a:ext uri="{FF2B5EF4-FFF2-40B4-BE49-F238E27FC236}">
                <a16:creationId xmlns:a16="http://schemas.microsoft.com/office/drawing/2014/main" xmlns="" id="{36374133-ADA4-4762-BA69-F6BEB82275E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403">
            <a:extLst>
              <a:ext uri="{FF2B5EF4-FFF2-40B4-BE49-F238E27FC236}">
                <a16:creationId xmlns:a16="http://schemas.microsoft.com/office/drawing/2014/main" xmlns="" id="{4163B816-90CA-48CE-B0FF-33EDC6D5289C}"/>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3222">
            <a:extLst>
              <a:ext uri="{FF2B5EF4-FFF2-40B4-BE49-F238E27FC236}">
                <a16:creationId xmlns:a16="http://schemas.microsoft.com/office/drawing/2014/main" xmlns="" id="{AC21CB40-53C0-4A9D-B00E-3B4B42604F3F}"/>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17725B31-EA8E-44C8-8D2C-DF784C86DB7E}"/>
              </a:ext>
            </a:extLst>
          </xdr:cNvPr>
          <xdr:cNvSpPr/>
        </xdr:nvSpPr>
        <xdr:spPr>
          <a:xfrm>
            <a:off x="1793639" y="-24522"/>
            <a:ext cx="1129978" cy="34218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26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263C90F8-38D5-4DC0-A040-66963187CE59}"/>
              </a:ext>
            </a:extLst>
          </xdr:cNvPr>
          <xdr:cNvSpPr/>
        </xdr:nvSpPr>
        <xdr:spPr>
          <a:xfrm>
            <a:off x="2622482" y="-12261"/>
            <a:ext cx="1919004" cy="329918"/>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CHARGES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FFD51E57-9C1C-4D72-B51B-282D8C5A0DF1}"/>
              </a:ext>
            </a:extLst>
          </xdr:cNvPr>
          <xdr:cNvSpPr/>
        </xdr:nvSpPr>
        <xdr:spPr>
          <a:xfrm>
            <a:off x="4119753" y="80508"/>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1</xdr:colOff>
      <xdr:row>0</xdr:row>
      <xdr:rowOff>76200</xdr:rowOff>
    </xdr:from>
    <xdr:to>
      <xdr:col>3</xdr:col>
      <xdr:colOff>685801</xdr:colOff>
      <xdr:row>3</xdr:row>
      <xdr:rowOff>57150</xdr:rowOff>
    </xdr:to>
    <xdr:grpSp>
      <xdr:nvGrpSpPr>
        <xdr:cNvPr id="2" name="Group 414860">
          <a:extLst>
            <a:ext uri="{FF2B5EF4-FFF2-40B4-BE49-F238E27FC236}">
              <a16:creationId xmlns:a16="http://schemas.microsoft.com/office/drawing/2014/main" xmlns="" id="{CD5E641F-B3E6-49BC-AA96-245D09F41DD0}"/>
            </a:ext>
          </a:extLst>
        </xdr:cNvPr>
        <xdr:cNvGrpSpPr/>
      </xdr:nvGrpSpPr>
      <xdr:grpSpPr>
        <a:xfrm>
          <a:off x="1" y="76200"/>
          <a:ext cx="6076950" cy="438150"/>
          <a:chOff x="0" y="0"/>
          <a:chExt cx="5848351" cy="384175"/>
        </a:xfrm>
      </xdr:grpSpPr>
      <xdr:sp macro="" textlink="">
        <xdr:nvSpPr>
          <xdr:cNvPr id="3" name="Rectangle 2">
            <a:extLst>
              <a:ext uri="{FF2B5EF4-FFF2-40B4-BE49-F238E27FC236}">
                <a16:creationId xmlns:a16="http://schemas.microsoft.com/office/drawing/2014/main" xmlns="" id="{771AF037-F7C5-4629-97B1-A8C841D0BD6E}"/>
              </a:ext>
            </a:extLst>
          </xdr:cNvPr>
          <xdr:cNvSpPr/>
        </xdr:nvSpPr>
        <xdr:spPr>
          <a:xfrm>
            <a:off x="94285" y="15341"/>
            <a:ext cx="50673" cy="224380"/>
          </a:xfrm>
          <a:prstGeom prst="rect">
            <a:avLst/>
          </a:prstGeom>
          <a:ln>
            <a:noFill/>
          </a:ln>
        </xdr:spPr>
        <xdr:txBody>
          <a:bodyPr lIns="0" tIns="0" rIns="0" bIns="0" rtlCol="0">
            <a:noAutofit/>
          </a:bodyPr>
          <a:lstStyle/>
          <a:p>
            <a:pPr>
              <a:lnSpc>
                <a:spcPct val="115000"/>
              </a:lnSpc>
              <a:spcAft>
                <a:spcPts val="0"/>
              </a:spcAft>
            </a:pPr>
            <a:r>
              <a:rPr lang="fr-FR" sz="1200" b="1">
                <a:solidFill>
                  <a:srgbClr val="000000"/>
                </a:solidFill>
                <a:effectLst/>
                <a:latin typeface="Times New Roman" panose="02020603050405020304" pitchFamily="18" charset="0"/>
                <a:ea typeface="Times New Roman" panose="020206030504050203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 name="Shape 508404">
            <a:extLst>
              <a:ext uri="{FF2B5EF4-FFF2-40B4-BE49-F238E27FC236}">
                <a16:creationId xmlns:a16="http://schemas.microsoft.com/office/drawing/2014/main" xmlns="" id="{A0BF9149-9308-44CA-9D44-0A59558A0148}"/>
              </a:ext>
            </a:extLst>
          </xdr:cNvPr>
          <xdr:cNvSpPr/>
        </xdr:nvSpPr>
        <xdr:spPr>
          <a:xfrm>
            <a:off x="0" y="76200"/>
            <a:ext cx="5772151" cy="307975"/>
          </a:xfrm>
          <a:custGeom>
            <a:avLst/>
            <a:gdLst/>
            <a:ahLst/>
            <a:cxnLst/>
            <a:rect l="0" t="0" r="0" b="0"/>
            <a:pathLst>
              <a:path w="5772151" h="307975">
                <a:moveTo>
                  <a:pt x="0" y="0"/>
                </a:moveTo>
                <a:lnTo>
                  <a:pt x="5772151" y="0"/>
                </a:lnTo>
                <a:lnTo>
                  <a:pt x="5772151"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 name="Shape 508405">
            <a:extLst>
              <a:ext uri="{FF2B5EF4-FFF2-40B4-BE49-F238E27FC236}">
                <a16:creationId xmlns:a16="http://schemas.microsoft.com/office/drawing/2014/main" xmlns="" id="{7FF92FDF-F883-46EC-A7D7-E4AC664502E1}"/>
              </a:ext>
            </a:extLst>
          </xdr:cNvPr>
          <xdr:cNvSpPr/>
        </xdr:nvSpPr>
        <xdr:spPr>
          <a:xfrm>
            <a:off x="76200" y="0"/>
            <a:ext cx="5772151" cy="307975"/>
          </a:xfrm>
          <a:custGeom>
            <a:avLst/>
            <a:gdLst/>
            <a:ahLst/>
            <a:cxnLst/>
            <a:rect l="0" t="0" r="0" b="0"/>
            <a:pathLst>
              <a:path w="5772151" h="307975">
                <a:moveTo>
                  <a:pt x="0" y="0"/>
                </a:moveTo>
                <a:lnTo>
                  <a:pt x="5772151" y="0"/>
                </a:lnTo>
                <a:lnTo>
                  <a:pt x="5772151"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6" name="Shape 53541">
            <a:extLst>
              <a:ext uri="{FF2B5EF4-FFF2-40B4-BE49-F238E27FC236}">
                <a16:creationId xmlns:a16="http://schemas.microsoft.com/office/drawing/2014/main" xmlns="" id="{C132AD9E-161A-423D-BD90-1B80EB689BBD}"/>
              </a:ext>
            </a:extLst>
          </xdr:cNvPr>
          <xdr:cNvSpPr/>
        </xdr:nvSpPr>
        <xdr:spPr>
          <a:xfrm>
            <a:off x="76200" y="0"/>
            <a:ext cx="5772151" cy="307975"/>
          </a:xfrm>
          <a:custGeom>
            <a:avLst/>
            <a:gdLst/>
            <a:ahLst/>
            <a:cxnLst/>
            <a:rect l="0" t="0" r="0" b="0"/>
            <a:pathLst>
              <a:path w="5772151" h="307975">
                <a:moveTo>
                  <a:pt x="0" y="307975"/>
                </a:moveTo>
                <a:lnTo>
                  <a:pt x="5772151" y="307975"/>
                </a:lnTo>
                <a:lnTo>
                  <a:pt x="5772151"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7" name="Rectangle 6">
            <a:extLst>
              <a:ext uri="{FF2B5EF4-FFF2-40B4-BE49-F238E27FC236}">
                <a16:creationId xmlns:a16="http://schemas.microsoft.com/office/drawing/2014/main" xmlns="" id="{4854ECCA-F973-46C7-918E-75BA46CF8B36}"/>
              </a:ext>
            </a:extLst>
          </xdr:cNvPr>
          <xdr:cNvSpPr/>
        </xdr:nvSpPr>
        <xdr:spPr>
          <a:xfrm>
            <a:off x="1452118" y="46085"/>
            <a:ext cx="1269936"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27A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6B64B0E4-1D57-4020-A319-FCBA97405133}"/>
              </a:ext>
            </a:extLst>
          </xdr:cNvPr>
          <xdr:cNvSpPr/>
        </xdr:nvSpPr>
        <xdr:spPr>
          <a:xfrm>
            <a:off x="2359221" y="50110"/>
            <a:ext cx="2697424" cy="216423"/>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CHARGES DE PERSONNEL</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Rectangle 8">
            <a:extLst>
              <a:ext uri="{FF2B5EF4-FFF2-40B4-BE49-F238E27FC236}">
                <a16:creationId xmlns:a16="http://schemas.microsoft.com/office/drawing/2014/main" xmlns="" id="{CA9808BD-98A7-4583-BE1E-5AF35331ED8B}"/>
              </a:ext>
            </a:extLst>
          </xdr:cNvPr>
          <xdr:cNvSpPr/>
        </xdr:nvSpPr>
        <xdr:spPr>
          <a:xfrm>
            <a:off x="4473321" y="79492"/>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190501</xdr:colOff>
      <xdr:row>0</xdr:row>
      <xdr:rowOff>0</xdr:rowOff>
    </xdr:from>
    <xdr:to>
      <xdr:col>15</xdr:col>
      <xdr:colOff>609601</xdr:colOff>
      <xdr:row>1</xdr:row>
      <xdr:rowOff>68580</xdr:rowOff>
    </xdr:to>
    <xdr:sp macro="" textlink="">
      <xdr:nvSpPr>
        <xdr:cNvPr id="9" name="Zone de texte 8">
          <a:extLst>
            <a:ext uri="{FF2B5EF4-FFF2-40B4-BE49-F238E27FC236}">
              <a16:creationId xmlns:a16="http://schemas.microsoft.com/office/drawing/2014/main" xmlns="" id="{2D0DD6C9-E30F-4B51-9A9D-EE992DE462B2}"/>
            </a:ext>
          </a:extLst>
        </xdr:cNvPr>
        <xdr:cNvSpPr txBox="1"/>
      </xdr:nvSpPr>
      <xdr:spPr>
        <a:xfrm>
          <a:off x="190501" y="0"/>
          <a:ext cx="12096750" cy="259080"/>
        </a:xfrm>
        <a:prstGeom prst="rect">
          <a:avLst/>
        </a:prstGeom>
        <a:solidFill>
          <a:srgbClr val="0070C0"/>
        </a:solidFill>
        <a:ln w="6350">
          <a:solidFill>
            <a:prstClr val="black"/>
          </a:solidFill>
        </a:ln>
        <a:effectLst>
          <a:outerShdw blurRad="63500" dist="50800" dir="7140000" algn="tr" rotWithShape="0">
            <a:prstClr val="black"/>
          </a:outerShdw>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ctr">
            <a:spcAft>
              <a:spcPts val="0"/>
            </a:spcAft>
          </a:pPr>
          <a:r>
            <a:rPr lang="fr-FR" sz="1200" b="1">
              <a:solidFill>
                <a:srgbClr val="FFFFFF"/>
              </a:solidFill>
              <a:effectLst/>
              <a:latin typeface="Cambria" panose="02040503050406030204" pitchFamily="18" charset="0"/>
              <a:ea typeface="Calibri" panose="020F0502020204030204" pitchFamily="34" charset="0"/>
              <a:cs typeface="Times New Roman" panose="02020603050405020304" pitchFamily="18" charset="0"/>
            </a:rPr>
            <a:t>NOTE 27B : EFFECTIFS, MASSE SALARIALE ET PERSONNEL EXTERIEUR</a:t>
          </a:r>
          <a:endParaRPr lang="fr-FR" sz="1400">
            <a:effectLst/>
            <a:latin typeface="Cambria" panose="02040503050406030204" pitchFamily="18" charset="0"/>
            <a:ea typeface="Calibri" panose="020F0502020204030204" pitchFamily="34" charset="0"/>
            <a:cs typeface="Times New Roman" panose="02020603050405020304" pitchFamily="18" charset="0"/>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714375</xdr:colOff>
      <xdr:row>1</xdr:row>
      <xdr:rowOff>123825</xdr:rowOff>
    </xdr:to>
    <xdr:sp macro="" textlink="">
      <xdr:nvSpPr>
        <xdr:cNvPr id="2" name="Zone de texte 9">
          <a:extLst>
            <a:ext uri="{FF2B5EF4-FFF2-40B4-BE49-F238E27FC236}">
              <a16:creationId xmlns="" xmlns:a16="http://schemas.microsoft.com/office/drawing/2014/main" id="{00000000-0008-0000-2E00-000006A80000}"/>
            </a:ext>
          </a:extLst>
        </xdr:cNvPr>
        <xdr:cNvSpPr txBox="1">
          <a:spLocks noChangeArrowheads="1"/>
        </xdr:cNvSpPr>
      </xdr:nvSpPr>
      <xdr:spPr bwMode="auto">
        <a:xfrm>
          <a:off x="0" y="0"/>
          <a:ext cx="11382375" cy="27622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28 : PROVISIONS ET DEPRECIATIONS INSCRITES AU BILAN</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9525</xdr:colOff>
      <xdr:row>0</xdr:row>
      <xdr:rowOff>66675</xdr:rowOff>
    </xdr:from>
    <xdr:to>
      <xdr:col>4</xdr:col>
      <xdr:colOff>515614</xdr:colOff>
      <xdr:row>2</xdr:row>
      <xdr:rowOff>142875</xdr:rowOff>
    </xdr:to>
    <xdr:grpSp>
      <xdr:nvGrpSpPr>
        <xdr:cNvPr id="2" name="Group 417403">
          <a:extLst>
            <a:ext uri="{FF2B5EF4-FFF2-40B4-BE49-F238E27FC236}">
              <a16:creationId xmlns:a16="http://schemas.microsoft.com/office/drawing/2014/main" xmlns="" id="{FE5E858F-11D4-4B8A-8B7C-FEDBA348659E}"/>
            </a:ext>
          </a:extLst>
        </xdr:cNvPr>
        <xdr:cNvGrpSpPr/>
      </xdr:nvGrpSpPr>
      <xdr:grpSpPr>
        <a:xfrm>
          <a:off x="9525" y="66675"/>
          <a:ext cx="6925939" cy="457200"/>
          <a:chOff x="0" y="0"/>
          <a:chExt cx="6385742" cy="384175"/>
        </a:xfrm>
      </xdr:grpSpPr>
      <xdr:sp macro="" textlink="">
        <xdr:nvSpPr>
          <xdr:cNvPr id="3" name="Shape 508410">
            <a:extLst>
              <a:ext uri="{FF2B5EF4-FFF2-40B4-BE49-F238E27FC236}">
                <a16:creationId xmlns:a16="http://schemas.microsoft.com/office/drawing/2014/main" xmlns="" id="{59C6EB34-6030-48CB-842D-73C7BA37D071}"/>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411">
            <a:extLst>
              <a:ext uri="{FF2B5EF4-FFF2-40B4-BE49-F238E27FC236}">
                <a16:creationId xmlns:a16="http://schemas.microsoft.com/office/drawing/2014/main" xmlns="" id="{F31ABFFB-C049-4CBE-887E-12C8ED0863B3}"/>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55054">
            <a:extLst>
              <a:ext uri="{FF2B5EF4-FFF2-40B4-BE49-F238E27FC236}">
                <a16:creationId xmlns:a16="http://schemas.microsoft.com/office/drawing/2014/main" xmlns="" id="{DCB98719-3119-471E-AC7C-095016C542A9}"/>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xmlns="" id="{AE3C962E-4EDA-4520-A663-6F8B3BEA6EEF}"/>
              </a:ext>
            </a:extLst>
          </xdr:cNvPr>
          <xdr:cNvSpPr/>
        </xdr:nvSpPr>
        <xdr:spPr>
          <a:xfrm>
            <a:off x="1704689" y="87749"/>
            <a:ext cx="1116026" cy="237150"/>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29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xmlns="" id="{24243CF1-99C4-428C-A3CA-6E092E6A913A}"/>
              </a:ext>
            </a:extLst>
          </xdr:cNvPr>
          <xdr:cNvSpPr/>
        </xdr:nvSpPr>
        <xdr:spPr>
          <a:xfrm>
            <a:off x="2387762" y="96043"/>
            <a:ext cx="3997980" cy="220851"/>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CHARGES ET REVENUS FINANCIERS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E7D8C550-A64C-4B0F-8C3E-CAE1260BE262}"/>
              </a:ext>
            </a:extLst>
          </xdr:cNvPr>
          <xdr:cNvSpPr/>
        </xdr:nvSpPr>
        <xdr:spPr>
          <a:xfrm>
            <a:off x="4815586"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38100</xdr:colOff>
      <xdr:row>0</xdr:row>
      <xdr:rowOff>66675</xdr:rowOff>
    </xdr:from>
    <xdr:to>
      <xdr:col>4</xdr:col>
      <xdr:colOff>173558</xdr:colOff>
      <xdr:row>2</xdr:row>
      <xdr:rowOff>142875</xdr:rowOff>
    </xdr:to>
    <xdr:grpSp>
      <xdr:nvGrpSpPr>
        <xdr:cNvPr id="2" name="Group 417403">
          <a:extLst>
            <a:ext uri="{FF2B5EF4-FFF2-40B4-BE49-F238E27FC236}">
              <a16:creationId xmlns:a16="http://schemas.microsoft.com/office/drawing/2014/main" xmlns="" id="{1BC0A214-7B2F-4131-AD1B-BA4C29E55899}"/>
            </a:ext>
          </a:extLst>
        </xdr:cNvPr>
        <xdr:cNvGrpSpPr/>
      </xdr:nvGrpSpPr>
      <xdr:grpSpPr>
        <a:xfrm>
          <a:off x="38100" y="66675"/>
          <a:ext cx="6260033" cy="457200"/>
          <a:chOff x="0" y="0"/>
          <a:chExt cx="6096672" cy="384175"/>
        </a:xfrm>
      </xdr:grpSpPr>
      <xdr:sp macro="" textlink="">
        <xdr:nvSpPr>
          <xdr:cNvPr id="3" name="Shape 508410">
            <a:extLst>
              <a:ext uri="{FF2B5EF4-FFF2-40B4-BE49-F238E27FC236}">
                <a16:creationId xmlns:a16="http://schemas.microsoft.com/office/drawing/2014/main" xmlns="" id="{9FEDE91E-1A32-42F6-AB2C-0D536C93B9EE}"/>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4" name="Shape 508411">
            <a:extLst>
              <a:ext uri="{FF2B5EF4-FFF2-40B4-BE49-F238E27FC236}">
                <a16:creationId xmlns:a16="http://schemas.microsoft.com/office/drawing/2014/main" xmlns="" id="{0E6469B1-81F8-4A21-B7B3-AED5EC26439C}"/>
              </a:ext>
            </a:extLst>
          </xdr:cNvPr>
          <xdr:cNvSpPr/>
        </xdr:nvSpPr>
        <xdr:spPr>
          <a:xfrm>
            <a:off x="76200" y="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 name="Shape 55054">
            <a:extLst>
              <a:ext uri="{FF2B5EF4-FFF2-40B4-BE49-F238E27FC236}">
                <a16:creationId xmlns:a16="http://schemas.microsoft.com/office/drawing/2014/main" xmlns="" id="{9CE7DFE9-7A9B-48B8-9334-F4535DAD1A18}"/>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6" name="Rectangle 5">
            <a:extLst>
              <a:ext uri="{FF2B5EF4-FFF2-40B4-BE49-F238E27FC236}">
                <a16:creationId xmlns:a16="http://schemas.microsoft.com/office/drawing/2014/main" xmlns="" id="{AF2B3C2A-AEE9-47AF-AA4C-F953B1E60558}"/>
              </a:ext>
            </a:extLst>
          </xdr:cNvPr>
          <xdr:cNvSpPr/>
        </xdr:nvSpPr>
        <xdr:spPr>
          <a:xfrm>
            <a:off x="1454707" y="71742"/>
            <a:ext cx="1116026" cy="237150"/>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30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7" name="Rectangle 6">
            <a:extLst>
              <a:ext uri="{FF2B5EF4-FFF2-40B4-BE49-F238E27FC236}">
                <a16:creationId xmlns:a16="http://schemas.microsoft.com/office/drawing/2014/main" xmlns="" id="{B012A280-908E-4DD4-8E42-FDAAECFDD754}"/>
              </a:ext>
            </a:extLst>
          </xdr:cNvPr>
          <xdr:cNvSpPr/>
        </xdr:nvSpPr>
        <xdr:spPr>
          <a:xfrm>
            <a:off x="2135769" y="88039"/>
            <a:ext cx="3960903" cy="228856"/>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AUTRES  CHARGES ET PRODUITS HAO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D8040931-7319-4E54-B68E-726E88F866F5}"/>
              </a:ext>
            </a:extLst>
          </xdr:cNvPr>
          <xdr:cNvSpPr/>
        </xdr:nvSpPr>
        <xdr:spPr>
          <a:xfrm>
            <a:off x="4815586"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95251</xdr:colOff>
      <xdr:row>1</xdr:row>
      <xdr:rowOff>0</xdr:rowOff>
    </xdr:from>
    <xdr:to>
      <xdr:col>5</xdr:col>
      <xdr:colOff>1057275</xdr:colOff>
      <xdr:row>2</xdr:row>
      <xdr:rowOff>114300</xdr:rowOff>
    </xdr:to>
    <xdr:sp macro="" textlink="">
      <xdr:nvSpPr>
        <xdr:cNvPr id="48129" name="Zone de texte 11">
          <a:extLst>
            <a:ext uri="{FF2B5EF4-FFF2-40B4-BE49-F238E27FC236}">
              <a16:creationId xmlns:a16="http://schemas.microsoft.com/office/drawing/2014/main" xmlns="" id="{8BCFD2B5-0F99-4058-959F-587C6F10A971}"/>
            </a:ext>
          </a:extLst>
        </xdr:cNvPr>
        <xdr:cNvSpPr txBox="1">
          <a:spLocks noChangeArrowheads="1"/>
        </xdr:cNvSpPr>
      </xdr:nvSpPr>
      <xdr:spPr bwMode="auto">
        <a:xfrm>
          <a:off x="95251" y="190500"/>
          <a:ext cx="12106274" cy="3048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31 : REPARTITION DU RESULTAT ET AUTRES ELEMENTS CARACTERISTIQUES DES CINQ DERNIERS EXERCICES</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85725</xdr:colOff>
      <xdr:row>0</xdr:row>
      <xdr:rowOff>0</xdr:rowOff>
    </xdr:from>
    <xdr:to>
      <xdr:col>13</xdr:col>
      <xdr:colOff>714375</xdr:colOff>
      <xdr:row>1</xdr:row>
      <xdr:rowOff>133350</xdr:rowOff>
    </xdr:to>
    <xdr:sp macro="" textlink="">
      <xdr:nvSpPr>
        <xdr:cNvPr id="49153" name="Zone de texte 12">
          <a:extLst>
            <a:ext uri="{FF2B5EF4-FFF2-40B4-BE49-F238E27FC236}">
              <a16:creationId xmlns:a16="http://schemas.microsoft.com/office/drawing/2014/main" xmlns="" id="{E550BF6A-794A-4A5B-8656-B03EBEBBFD36}"/>
            </a:ext>
          </a:extLst>
        </xdr:cNvPr>
        <xdr:cNvSpPr txBox="1">
          <a:spLocks noChangeArrowheads="1"/>
        </xdr:cNvSpPr>
      </xdr:nvSpPr>
      <xdr:spPr bwMode="auto">
        <a:xfrm>
          <a:off x="85725" y="0"/>
          <a:ext cx="10829925" cy="28575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32 : PRODUCTION DE L’EXERCICE</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0</xdr:col>
      <xdr:colOff>66675</xdr:colOff>
      <xdr:row>0</xdr:row>
      <xdr:rowOff>57150</xdr:rowOff>
    </xdr:from>
    <xdr:to>
      <xdr:col>8</xdr:col>
      <xdr:colOff>628649</xdr:colOff>
      <xdr:row>2</xdr:row>
      <xdr:rowOff>19050</xdr:rowOff>
    </xdr:to>
    <xdr:sp macro="" textlink="">
      <xdr:nvSpPr>
        <xdr:cNvPr id="50177" name="Zone de texte 2">
          <a:extLst>
            <a:ext uri="{FF2B5EF4-FFF2-40B4-BE49-F238E27FC236}">
              <a16:creationId xmlns:a16="http://schemas.microsoft.com/office/drawing/2014/main" xmlns="" id="{CBC0D8DF-F193-4658-AB00-D928A71B1898}"/>
            </a:ext>
          </a:extLst>
        </xdr:cNvPr>
        <xdr:cNvSpPr txBox="1">
          <a:spLocks noChangeArrowheads="1"/>
        </xdr:cNvSpPr>
      </xdr:nvSpPr>
      <xdr:spPr bwMode="auto">
        <a:xfrm>
          <a:off x="66675" y="57150"/>
          <a:ext cx="8553449" cy="2667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33 : ACHATS DESTINES A LA PRODUCTION</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4</xdr:col>
      <xdr:colOff>0</xdr:colOff>
      <xdr:row>19</xdr:row>
      <xdr:rowOff>0</xdr:rowOff>
    </xdr:from>
    <xdr:to>
      <xdr:col>4</xdr:col>
      <xdr:colOff>626110</xdr:colOff>
      <xdr:row>19</xdr:row>
      <xdr:rowOff>139700</xdr:rowOff>
    </xdr:to>
    <xdr:grpSp>
      <xdr:nvGrpSpPr>
        <xdr:cNvPr id="6" name="Group 486160">
          <a:extLst>
            <a:ext uri="{FF2B5EF4-FFF2-40B4-BE49-F238E27FC236}">
              <a16:creationId xmlns:a16="http://schemas.microsoft.com/office/drawing/2014/main" xmlns="" id="{EA774F34-5E75-40B2-9440-3299BFF9A9D3}"/>
            </a:ext>
          </a:extLst>
        </xdr:cNvPr>
        <xdr:cNvGrpSpPr/>
      </xdr:nvGrpSpPr>
      <xdr:grpSpPr>
        <a:xfrm>
          <a:off x="7019925" y="3838575"/>
          <a:ext cx="626110" cy="139700"/>
          <a:chOff x="0" y="0"/>
          <a:chExt cx="626364" cy="140209"/>
        </a:xfrm>
      </xdr:grpSpPr>
      <xdr:sp macro="" textlink="">
        <xdr:nvSpPr>
          <xdr:cNvPr id="7" name="Rectangle 6">
            <a:extLst>
              <a:ext uri="{FF2B5EF4-FFF2-40B4-BE49-F238E27FC236}">
                <a16:creationId xmlns:a16="http://schemas.microsoft.com/office/drawing/2014/main" xmlns="" id="{CA31B8D7-C07A-403F-85B7-20ABD97BF924}"/>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8" name="Rectangle 7">
            <a:extLst>
              <a:ext uri="{FF2B5EF4-FFF2-40B4-BE49-F238E27FC236}">
                <a16:creationId xmlns:a16="http://schemas.microsoft.com/office/drawing/2014/main" xmlns="" id="{DDA8C657-2904-4D7A-9A4E-545357A7699D}"/>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9" name="Shape 58021">
            <a:extLst>
              <a:ext uri="{FF2B5EF4-FFF2-40B4-BE49-F238E27FC236}">
                <a16:creationId xmlns:a16="http://schemas.microsoft.com/office/drawing/2014/main" xmlns="" id="{95A6359C-ACD3-4D90-BEC9-1D6AD940158A}"/>
              </a:ext>
            </a:extLst>
          </xdr:cNvPr>
          <xdr:cNvSpPr/>
        </xdr:nvSpPr>
        <xdr:spPr>
          <a:xfrm>
            <a:off x="0" y="0"/>
            <a:ext cx="626364" cy="140209"/>
          </a:xfrm>
          <a:custGeom>
            <a:avLst/>
            <a:gdLst/>
            <a:ahLst/>
            <a:cxnLst/>
            <a:rect l="0" t="0" r="0" b="0"/>
            <a:pathLst>
              <a:path w="626364" h="140209">
                <a:moveTo>
                  <a:pt x="626364" y="0"/>
                </a:moveTo>
                <a:lnTo>
                  <a:pt x="0" y="14020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20</xdr:row>
      <xdr:rowOff>0</xdr:rowOff>
    </xdr:from>
    <xdr:to>
      <xdr:col>4</xdr:col>
      <xdr:colOff>626110</xdr:colOff>
      <xdr:row>20</xdr:row>
      <xdr:rowOff>140335</xdr:rowOff>
    </xdr:to>
    <xdr:grpSp>
      <xdr:nvGrpSpPr>
        <xdr:cNvPr id="10" name="Group 486181">
          <a:extLst>
            <a:ext uri="{FF2B5EF4-FFF2-40B4-BE49-F238E27FC236}">
              <a16:creationId xmlns:a16="http://schemas.microsoft.com/office/drawing/2014/main" xmlns="" id="{11913658-F676-454B-9D8D-4171A8E27CE2}"/>
            </a:ext>
          </a:extLst>
        </xdr:cNvPr>
        <xdr:cNvGrpSpPr/>
      </xdr:nvGrpSpPr>
      <xdr:grpSpPr>
        <a:xfrm>
          <a:off x="7019925" y="4029075"/>
          <a:ext cx="626110" cy="140335"/>
          <a:chOff x="0" y="0"/>
          <a:chExt cx="626364" cy="140589"/>
        </a:xfrm>
      </xdr:grpSpPr>
      <xdr:sp macro="" textlink="">
        <xdr:nvSpPr>
          <xdr:cNvPr id="11" name="Rectangle 10">
            <a:extLst>
              <a:ext uri="{FF2B5EF4-FFF2-40B4-BE49-F238E27FC236}">
                <a16:creationId xmlns:a16="http://schemas.microsoft.com/office/drawing/2014/main" xmlns="" id="{B67B1EE1-735D-4C11-80B3-8FD80B7E2336}"/>
              </a:ext>
            </a:extLst>
          </xdr:cNvPr>
          <xdr:cNvSpPr/>
        </xdr:nvSpPr>
        <xdr:spPr>
          <a:xfrm>
            <a:off x="42672" y="22860"/>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2" name="Rectangle 11">
            <a:extLst>
              <a:ext uri="{FF2B5EF4-FFF2-40B4-BE49-F238E27FC236}">
                <a16:creationId xmlns:a16="http://schemas.microsoft.com/office/drawing/2014/main" xmlns="" id="{D26C1A4E-0D24-4F71-A7B7-F59579F26DF2}"/>
              </a:ext>
            </a:extLst>
          </xdr:cNvPr>
          <xdr:cNvSpPr/>
        </xdr:nvSpPr>
        <xdr:spPr>
          <a:xfrm>
            <a:off x="68580" y="22860"/>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3" name="Shape 58049">
            <a:extLst>
              <a:ext uri="{FF2B5EF4-FFF2-40B4-BE49-F238E27FC236}">
                <a16:creationId xmlns:a16="http://schemas.microsoft.com/office/drawing/2014/main" xmlns="" id="{6BE69474-B4BF-4297-BDDF-20E2B848AC4F}"/>
              </a:ext>
            </a:extLst>
          </xdr:cNvPr>
          <xdr:cNvSpPr/>
        </xdr:nvSpPr>
        <xdr:spPr>
          <a:xfrm>
            <a:off x="0" y="0"/>
            <a:ext cx="626364" cy="140589"/>
          </a:xfrm>
          <a:custGeom>
            <a:avLst/>
            <a:gdLst/>
            <a:ahLst/>
            <a:cxnLst/>
            <a:rect l="0" t="0" r="0" b="0"/>
            <a:pathLst>
              <a:path w="626364" h="140589">
                <a:moveTo>
                  <a:pt x="626364" y="0"/>
                </a:moveTo>
                <a:lnTo>
                  <a:pt x="0" y="14058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21</xdr:row>
      <xdr:rowOff>0</xdr:rowOff>
    </xdr:from>
    <xdr:to>
      <xdr:col>4</xdr:col>
      <xdr:colOff>626110</xdr:colOff>
      <xdr:row>21</xdr:row>
      <xdr:rowOff>138430</xdr:rowOff>
    </xdr:to>
    <xdr:grpSp>
      <xdr:nvGrpSpPr>
        <xdr:cNvPr id="14" name="Group 486202">
          <a:extLst>
            <a:ext uri="{FF2B5EF4-FFF2-40B4-BE49-F238E27FC236}">
              <a16:creationId xmlns:a16="http://schemas.microsoft.com/office/drawing/2014/main" xmlns="" id="{1B143D1D-7E64-4D38-B595-259612A30B43}"/>
            </a:ext>
          </a:extLst>
        </xdr:cNvPr>
        <xdr:cNvGrpSpPr/>
      </xdr:nvGrpSpPr>
      <xdr:grpSpPr>
        <a:xfrm>
          <a:off x="7019925" y="4219575"/>
          <a:ext cx="626110" cy="138430"/>
          <a:chOff x="0" y="0"/>
          <a:chExt cx="626364" cy="138900"/>
        </a:xfrm>
      </xdr:grpSpPr>
      <xdr:sp macro="" textlink="">
        <xdr:nvSpPr>
          <xdr:cNvPr id="15" name="Rectangle 14">
            <a:extLst>
              <a:ext uri="{FF2B5EF4-FFF2-40B4-BE49-F238E27FC236}">
                <a16:creationId xmlns:a16="http://schemas.microsoft.com/office/drawing/2014/main" xmlns="" id="{9A4D8615-E8D7-4F97-A537-F39727A5D457}"/>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6" name="Rectangle 15">
            <a:extLst>
              <a:ext uri="{FF2B5EF4-FFF2-40B4-BE49-F238E27FC236}">
                <a16:creationId xmlns:a16="http://schemas.microsoft.com/office/drawing/2014/main" xmlns="" id="{01A78681-B421-490F-905A-429D455FBF63}"/>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17" name="Shape 58079">
            <a:extLst>
              <a:ext uri="{FF2B5EF4-FFF2-40B4-BE49-F238E27FC236}">
                <a16:creationId xmlns:a16="http://schemas.microsoft.com/office/drawing/2014/main" xmlns="" id="{6EFC76F5-0E82-4DA9-A722-22479AA8E2E9}"/>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23</xdr:row>
      <xdr:rowOff>0</xdr:rowOff>
    </xdr:from>
    <xdr:to>
      <xdr:col>4</xdr:col>
      <xdr:colOff>626110</xdr:colOff>
      <xdr:row>23</xdr:row>
      <xdr:rowOff>139700</xdr:rowOff>
    </xdr:to>
    <xdr:grpSp>
      <xdr:nvGrpSpPr>
        <xdr:cNvPr id="18" name="Group 486291">
          <a:extLst>
            <a:ext uri="{FF2B5EF4-FFF2-40B4-BE49-F238E27FC236}">
              <a16:creationId xmlns:a16="http://schemas.microsoft.com/office/drawing/2014/main" xmlns="" id="{269F1939-1025-4FDD-BCB3-1597FB22E71C}"/>
            </a:ext>
          </a:extLst>
        </xdr:cNvPr>
        <xdr:cNvGrpSpPr/>
      </xdr:nvGrpSpPr>
      <xdr:grpSpPr>
        <a:xfrm>
          <a:off x="7019925" y="4657725"/>
          <a:ext cx="626110" cy="139700"/>
          <a:chOff x="0" y="0"/>
          <a:chExt cx="626364" cy="140208"/>
        </a:xfrm>
      </xdr:grpSpPr>
      <xdr:sp macro="" textlink="">
        <xdr:nvSpPr>
          <xdr:cNvPr id="19" name="Rectangle 18">
            <a:extLst>
              <a:ext uri="{FF2B5EF4-FFF2-40B4-BE49-F238E27FC236}">
                <a16:creationId xmlns:a16="http://schemas.microsoft.com/office/drawing/2014/main" xmlns="" id="{6A36A8CA-FE35-4C16-8006-58E6B7C29241}"/>
              </a:ext>
            </a:extLst>
          </xdr:cNvPr>
          <xdr:cNvSpPr/>
        </xdr:nvSpPr>
        <xdr:spPr>
          <a:xfrm>
            <a:off x="42672" y="22478"/>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0" name="Rectangle 19">
            <a:extLst>
              <a:ext uri="{FF2B5EF4-FFF2-40B4-BE49-F238E27FC236}">
                <a16:creationId xmlns:a16="http://schemas.microsoft.com/office/drawing/2014/main" xmlns="" id="{63BCB907-C5BE-49F5-B293-3CB65702B0D2}"/>
              </a:ext>
            </a:extLst>
          </xdr:cNvPr>
          <xdr:cNvSpPr/>
        </xdr:nvSpPr>
        <xdr:spPr>
          <a:xfrm>
            <a:off x="68580" y="22478"/>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1" name="Shape 58154">
            <a:extLst>
              <a:ext uri="{FF2B5EF4-FFF2-40B4-BE49-F238E27FC236}">
                <a16:creationId xmlns:a16="http://schemas.microsoft.com/office/drawing/2014/main" xmlns="" id="{93B28E30-89F9-4DB9-B8C2-0641604C1899}"/>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24</xdr:row>
      <xdr:rowOff>0</xdr:rowOff>
    </xdr:from>
    <xdr:to>
      <xdr:col>4</xdr:col>
      <xdr:colOff>626110</xdr:colOff>
      <xdr:row>24</xdr:row>
      <xdr:rowOff>138430</xdr:rowOff>
    </xdr:to>
    <xdr:grpSp>
      <xdr:nvGrpSpPr>
        <xdr:cNvPr id="22" name="Group 486312">
          <a:extLst>
            <a:ext uri="{FF2B5EF4-FFF2-40B4-BE49-F238E27FC236}">
              <a16:creationId xmlns:a16="http://schemas.microsoft.com/office/drawing/2014/main" xmlns="" id="{8164E817-F0D2-48BE-B6EA-73E0F555E5F9}"/>
            </a:ext>
          </a:extLst>
        </xdr:cNvPr>
        <xdr:cNvGrpSpPr/>
      </xdr:nvGrpSpPr>
      <xdr:grpSpPr>
        <a:xfrm>
          <a:off x="7019925" y="4848225"/>
          <a:ext cx="626110" cy="138430"/>
          <a:chOff x="0" y="0"/>
          <a:chExt cx="626364" cy="138900"/>
        </a:xfrm>
      </xdr:grpSpPr>
      <xdr:sp macro="" textlink="">
        <xdr:nvSpPr>
          <xdr:cNvPr id="23" name="Rectangle 22">
            <a:extLst>
              <a:ext uri="{FF2B5EF4-FFF2-40B4-BE49-F238E27FC236}">
                <a16:creationId xmlns:a16="http://schemas.microsoft.com/office/drawing/2014/main" xmlns="" id="{80712715-8817-433D-A603-44563CDBB8E6}"/>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4" name="Rectangle 23">
            <a:extLst>
              <a:ext uri="{FF2B5EF4-FFF2-40B4-BE49-F238E27FC236}">
                <a16:creationId xmlns:a16="http://schemas.microsoft.com/office/drawing/2014/main" xmlns="" id="{A536156D-5F29-4687-89F5-7BF4C7BF1E32}"/>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5" name="Shape 58182">
            <a:extLst>
              <a:ext uri="{FF2B5EF4-FFF2-40B4-BE49-F238E27FC236}">
                <a16:creationId xmlns:a16="http://schemas.microsoft.com/office/drawing/2014/main" xmlns="" id="{FDE1E989-DD2E-4495-808A-8B528BD0ED8C}"/>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25</xdr:row>
      <xdr:rowOff>0</xdr:rowOff>
    </xdr:from>
    <xdr:to>
      <xdr:col>4</xdr:col>
      <xdr:colOff>626110</xdr:colOff>
      <xdr:row>25</xdr:row>
      <xdr:rowOff>140335</xdr:rowOff>
    </xdr:to>
    <xdr:grpSp>
      <xdr:nvGrpSpPr>
        <xdr:cNvPr id="26" name="Group 486333">
          <a:extLst>
            <a:ext uri="{FF2B5EF4-FFF2-40B4-BE49-F238E27FC236}">
              <a16:creationId xmlns:a16="http://schemas.microsoft.com/office/drawing/2014/main" xmlns="" id="{F71D0536-7350-4378-AAA8-BAAEBF1AF3FB}"/>
            </a:ext>
          </a:extLst>
        </xdr:cNvPr>
        <xdr:cNvGrpSpPr/>
      </xdr:nvGrpSpPr>
      <xdr:grpSpPr>
        <a:xfrm>
          <a:off x="7019925" y="5038725"/>
          <a:ext cx="626110" cy="140335"/>
          <a:chOff x="0" y="0"/>
          <a:chExt cx="626364" cy="140424"/>
        </a:xfrm>
      </xdr:grpSpPr>
      <xdr:sp macro="" textlink="">
        <xdr:nvSpPr>
          <xdr:cNvPr id="27" name="Rectangle 26">
            <a:extLst>
              <a:ext uri="{FF2B5EF4-FFF2-40B4-BE49-F238E27FC236}">
                <a16:creationId xmlns:a16="http://schemas.microsoft.com/office/drawing/2014/main" xmlns="" id="{20B7B70B-46FD-46AA-9FAF-4046170E9950}"/>
              </a:ext>
            </a:extLst>
          </xdr:cNvPr>
          <xdr:cNvSpPr/>
        </xdr:nvSpPr>
        <xdr:spPr>
          <a:xfrm>
            <a:off x="42672" y="24003"/>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28" name="Shape 58206">
            <a:extLst>
              <a:ext uri="{FF2B5EF4-FFF2-40B4-BE49-F238E27FC236}">
                <a16:creationId xmlns:a16="http://schemas.microsoft.com/office/drawing/2014/main" xmlns="" id="{EC49CA40-95AC-4176-B0D4-5A5638CD5802}"/>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26</xdr:row>
      <xdr:rowOff>0</xdr:rowOff>
    </xdr:from>
    <xdr:to>
      <xdr:col>4</xdr:col>
      <xdr:colOff>626110</xdr:colOff>
      <xdr:row>26</xdr:row>
      <xdr:rowOff>139700</xdr:rowOff>
    </xdr:to>
    <xdr:grpSp>
      <xdr:nvGrpSpPr>
        <xdr:cNvPr id="29" name="Group 486354">
          <a:extLst>
            <a:ext uri="{FF2B5EF4-FFF2-40B4-BE49-F238E27FC236}">
              <a16:creationId xmlns:a16="http://schemas.microsoft.com/office/drawing/2014/main" xmlns="" id="{5157ACE3-CB6B-44AC-AA6A-9428D88ED0D6}"/>
            </a:ext>
          </a:extLst>
        </xdr:cNvPr>
        <xdr:cNvGrpSpPr/>
      </xdr:nvGrpSpPr>
      <xdr:grpSpPr>
        <a:xfrm>
          <a:off x="7019925" y="5229225"/>
          <a:ext cx="626110" cy="139700"/>
          <a:chOff x="0" y="0"/>
          <a:chExt cx="626364" cy="140209"/>
        </a:xfrm>
      </xdr:grpSpPr>
      <xdr:sp macro="" textlink="">
        <xdr:nvSpPr>
          <xdr:cNvPr id="30" name="Rectangle 29">
            <a:extLst>
              <a:ext uri="{FF2B5EF4-FFF2-40B4-BE49-F238E27FC236}">
                <a16:creationId xmlns:a16="http://schemas.microsoft.com/office/drawing/2014/main" xmlns="" id="{4F514DF7-9A01-4D3C-8423-D2A00CBBA097}"/>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1" name="Rectangle 30">
            <a:extLst>
              <a:ext uri="{FF2B5EF4-FFF2-40B4-BE49-F238E27FC236}">
                <a16:creationId xmlns:a16="http://schemas.microsoft.com/office/drawing/2014/main" xmlns="" id="{13AF3BB6-8E20-4874-A233-8B29313930E1}"/>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2" name="Shape 58234">
            <a:extLst>
              <a:ext uri="{FF2B5EF4-FFF2-40B4-BE49-F238E27FC236}">
                <a16:creationId xmlns:a16="http://schemas.microsoft.com/office/drawing/2014/main" xmlns="" id="{392A9CBA-6C07-488A-B62E-3740091EB9D9}"/>
              </a:ext>
            </a:extLst>
          </xdr:cNvPr>
          <xdr:cNvSpPr/>
        </xdr:nvSpPr>
        <xdr:spPr>
          <a:xfrm>
            <a:off x="0" y="0"/>
            <a:ext cx="626364" cy="140209"/>
          </a:xfrm>
          <a:custGeom>
            <a:avLst/>
            <a:gdLst/>
            <a:ahLst/>
            <a:cxnLst/>
            <a:rect l="0" t="0" r="0" b="0"/>
            <a:pathLst>
              <a:path w="626364" h="140209">
                <a:moveTo>
                  <a:pt x="626364" y="0"/>
                </a:moveTo>
                <a:lnTo>
                  <a:pt x="0" y="14020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27</xdr:row>
      <xdr:rowOff>0</xdr:rowOff>
    </xdr:from>
    <xdr:to>
      <xdr:col>4</xdr:col>
      <xdr:colOff>626110</xdr:colOff>
      <xdr:row>27</xdr:row>
      <xdr:rowOff>139700</xdr:rowOff>
    </xdr:to>
    <xdr:grpSp>
      <xdr:nvGrpSpPr>
        <xdr:cNvPr id="33" name="Group 486375">
          <a:extLst>
            <a:ext uri="{FF2B5EF4-FFF2-40B4-BE49-F238E27FC236}">
              <a16:creationId xmlns:a16="http://schemas.microsoft.com/office/drawing/2014/main" xmlns="" id="{7E680A70-829D-4FE5-8401-190F20ABBFED}"/>
            </a:ext>
          </a:extLst>
        </xdr:cNvPr>
        <xdr:cNvGrpSpPr/>
      </xdr:nvGrpSpPr>
      <xdr:grpSpPr>
        <a:xfrm>
          <a:off x="7019925" y="5419725"/>
          <a:ext cx="626110" cy="139700"/>
          <a:chOff x="0" y="0"/>
          <a:chExt cx="626364" cy="140209"/>
        </a:xfrm>
      </xdr:grpSpPr>
      <xdr:sp macro="" textlink="">
        <xdr:nvSpPr>
          <xdr:cNvPr id="34" name="Rectangle 33">
            <a:extLst>
              <a:ext uri="{FF2B5EF4-FFF2-40B4-BE49-F238E27FC236}">
                <a16:creationId xmlns:a16="http://schemas.microsoft.com/office/drawing/2014/main" xmlns="" id="{572D02FD-9AAC-4E09-BD06-89FFDDE00CD4}"/>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5" name="Shape 58258">
            <a:extLst>
              <a:ext uri="{FF2B5EF4-FFF2-40B4-BE49-F238E27FC236}">
                <a16:creationId xmlns:a16="http://schemas.microsoft.com/office/drawing/2014/main" xmlns="" id="{4B5D499A-0006-4037-9B7C-5C9207F7C755}"/>
              </a:ext>
            </a:extLst>
          </xdr:cNvPr>
          <xdr:cNvSpPr/>
        </xdr:nvSpPr>
        <xdr:spPr>
          <a:xfrm>
            <a:off x="0" y="0"/>
            <a:ext cx="626364" cy="140209"/>
          </a:xfrm>
          <a:custGeom>
            <a:avLst/>
            <a:gdLst/>
            <a:ahLst/>
            <a:cxnLst/>
            <a:rect l="0" t="0" r="0" b="0"/>
            <a:pathLst>
              <a:path w="626364" h="140209">
                <a:moveTo>
                  <a:pt x="626364" y="0"/>
                </a:moveTo>
                <a:lnTo>
                  <a:pt x="0" y="140209"/>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28</xdr:row>
      <xdr:rowOff>0</xdr:rowOff>
    </xdr:from>
    <xdr:to>
      <xdr:col>4</xdr:col>
      <xdr:colOff>626110</xdr:colOff>
      <xdr:row>28</xdr:row>
      <xdr:rowOff>138430</xdr:rowOff>
    </xdr:to>
    <xdr:grpSp>
      <xdr:nvGrpSpPr>
        <xdr:cNvPr id="36" name="Group 486396">
          <a:extLst>
            <a:ext uri="{FF2B5EF4-FFF2-40B4-BE49-F238E27FC236}">
              <a16:creationId xmlns:a16="http://schemas.microsoft.com/office/drawing/2014/main" xmlns="" id="{BC25BF30-68E9-4469-98CC-2B252128B6B0}"/>
            </a:ext>
          </a:extLst>
        </xdr:cNvPr>
        <xdr:cNvGrpSpPr/>
      </xdr:nvGrpSpPr>
      <xdr:grpSpPr>
        <a:xfrm>
          <a:off x="7019925" y="5610225"/>
          <a:ext cx="626110" cy="138430"/>
          <a:chOff x="0" y="0"/>
          <a:chExt cx="626364" cy="138900"/>
        </a:xfrm>
      </xdr:grpSpPr>
      <xdr:sp macro="" textlink="">
        <xdr:nvSpPr>
          <xdr:cNvPr id="37" name="Rectangle 36">
            <a:extLst>
              <a:ext uri="{FF2B5EF4-FFF2-40B4-BE49-F238E27FC236}">
                <a16:creationId xmlns:a16="http://schemas.microsoft.com/office/drawing/2014/main" xmlns="" id="{ED5A58CD-79FD-41D2-9688-25E183BC3B1C}"/>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8" name="Rectangle 37">
            <a:extLst>
              <a:ext uri="{FF2B5EF4-FFF2-40B4-BE49-F238E27FC236}">
                <a16:creationId xmlns:a16="http://schemas.microsoft.com/office/drawing/2014/main" xmlns="" id="{3717A780-064A-4308-BE3C-E654EAE0C794}"/>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39" name="Shape 58289">
            <a:extLst>
              <a:ext uri="{FF2B5EF4-FFF2-40B4-BE49-F238E27FC236}">
                <a16:creationId xmlns:a16="http://schemas.microsoft.com/office/drawing/2014/main" xmlns="" id="{AFA9F5B9-A8D4-4674-B81C-916B6756248F}"/>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30</xdr:row>
      <xdr:rowOff>0</xdr:rowOff>
    </xdr:from>
    <xdr:to>
      <xdr:col>4</xdr:col>
      <xdr:colOff>626110</xdr:colOff>
      <xdr:row>30</xdr:row>
      <xdr:rowOff>139700</xdr:rowOff>
    </xdr:to>
    <xdr:grpSp>
      <xdr:nvGrpSpPr>
        <xdr:cNvPr id="44" name="Group 486438">
          <a:extLst>
            <a:ext uri="{FF2B5EF4-FFF2-40B4-BE49-F238E27FC236}">
              <a16:creationId xmlns:a16="http://schemas.microsoft.com/office/drawing/2014/main" xmlns="" id="{B52A04ED-79C9-40E3-BC2F-0FEF5FEB9895}"/>
            </a:ext>
          </a:extLst>
        </xdr:cNvPr>
        <xdr:cNvGrpSpPr/>
      </xdr:nvGrpSpPr>
      <xdr:grpSpPr>
        <a:xfrm>
          <a:off x="7019925" y="5991225"/>
          <a:ext cx="626110" cy="139700"/>
          <a:chOff x="0" y="0"/>
          <a:chExt cx="626364" cy="140208"/>
        </a:xfrm>
      </xdr:grpSpPr>
      <xdr:sp macro="" textlink="">
        <xdr:nvSpPr>
          <xdr:cNvPr id="45" name="Rectangle 44">
            <a:extLst>
              <a:ext uri="{FF2B5EF4-FFF2-40B4-BE49-F238E27FC236}">
                <a16:creationId xmlns:a16="http://schemas.microsoft.com/office/drawing/2014/main" xmlns="" id="{2C61C3CB-60E2-43C3-8DD3-7D722E70B1F3}"/>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6" name="Rectangle 45">
            <a:extLst>
              <a:ext uri="{FF2B5EF4-FFF2-40B4-BE49-F238E27FC236}">
                <a16:creationId xmlns:a16="http://schemas.microsoft.com/office/drawing/2014/main" xmlns="" id="{8419531E-08A7-448B-8FDE-80637B455087}"/>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47" name="Shape 58349">
            <a:extLst>
              <a:ext uri="{FF2B5EF4-FFF2-40B4-BE49-F238E27FC236}">
                <a16:creationId xmlns:a16="http://schemas.microsoft.com/office/drawing/2014/main" xmlns="" id="{1BD09866-FE16-4C0F-908C-130E2D606123}"/>
              </a:ext>
            </a:extLst>
          </xdr:cNvPr>
          <xdr:cNvSpPr/>
        </xdr:nvSpPr>
        <xdr:spPr>
          <a:xfrm>
            <a:off x="0" y="0"/>
            <a:ext cx="626364" cy="140208"/>
          </a:xfrm>
          <a:custGeom>
            <a:avLst/>
            <a:gdLst/>
            <a:ahLst/>
            <a:cxnLst/>
            <a:rect l="0" t="0" r="0" b="0"/>
            <a:pathLst>
              <a:path w="626364" h="140208">
                <a:moveTo>
                  <a:pt x="626364" y="0"/>
                </a:moveTo>
                <a:lnTo>
                  <a:pt x="0" y="140208"/>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4</xdr:col>
      <xdr:colOff>0</xdr:colOff>
      <xdr:row>31</xdr:row>
      <xdr:rowOff>0</xdr:rowOff>
    </xdr:from>
    <xdr:to>
      <xdr:col>4</xdr:col>
      <xdr:colOff>626110</xdr:colOff>
      <xdr:row>31</xdr:row>
      <xdr:rowOff>138430</xdr:rowOff>
    </xdr:to>
    <xdr:grpSp>
      <xdr:nvGrpSpPr>
        <xdr:cNvPr id="48" name="Group 486459">
          <a:extLst>
            <a:ext uri="{FF2B5EF4-FFF2-40B4-BE49-F238E27FC236}">
              <a16:creationId xmlns:a16="http://schemas.microsoft.com/office/drawing/2014/main" xmlns="" id="{339B61CB-005D-4C53-9F6F-5C696170E676}"/>
            </a:ext>
          </a:extLst>
        </xdr:cNvPr>
        <xdr:cNvGrpSpPr/>
      </xdr:nvGrpSpPr>
      <xdr:grpSpPr>
        <a:xfrm>
          <a:off x="7019925" y="6181725"/>
          <a:ext cx="626110" cy="138430"/>
          <a:chOff x="0" y="0"/>
          <a:chExt cx="626364" cy="138900"/>
        </a:xfrm>
      </xdr:grpSpPr>
      <xdr:sp macro="" textlink="">
        <xdr:nvSpPr>
          <xdr:cNvPr id="49" name="Rectangle 48">
            <a:extLst>
              <a:ext uri="{FF2B5EF4-FFF2-40B4-BE49-F238E27FC236}">
                <a16:creationId xmlns:a16="http://schemas.microsoft.com/office/drawing/2014/main" xmlns="" id="{4BA70680-42EA-429B-8C23-832E241F78A3}"/>
              </a:ext>
            </a:extLst>
          </xdr:cNvPr>
          <xdr:cNvSpPr/>
        </xdr:nvSpPr>
        <xdr:spPr>
          <a:xfrm>
            <a:off x="42672"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0" name="Rectangle 49">
            <a:extLst>
              <a:ext uri="{FF2B5EF4-FFF2-40B4-BE49-F238E27FC236}">
                <a16:creationId xmlns:a16="http://schemas.microsoft.com/office/drawing/2014/main" xmlns="" id="{D299AA9A-5571-44A1-B3E5-D0BCC42DBAEC}"/>
              </a:ext>
            </a:extLst>
          </xdr:cNvPr>
          <xdr:cNvSpPr/>
        </xdr:nvSpPr>
        <xdr:spPr>
          <a:xfrm>
            <a:off x="68580" y="22479"/>
            <a:ext cx="34356" cy="154840"/>
          </a:xfrm>
          <a:prstGeom prst="rect">
            <a:avLst/>
          </a:prstGeom>
          <a:ln>
            <a:noFill/>
          </a:ln>
        </xdr:spPr>
        <xdr:txBody>
          <a:bodyPr lIns="0" tIns="0" rIns="0" bIns="0" rtlCol="0">
            <a:noAutofit/>
          </a:bodyPr>
          <a:lstStyle/>
          <a:p>
            <a:pPr>
              <a:lnSpc>
                <a:spcPct val="115000"/>
              </a:lnSpc>
              <a:spcAft>
                <a:spcPts val="0"/>
              </a:spcAft>
            </a:pPr>
            <a:r>
              <a:rPr lang="fr-FR" sz="900">
                <a:solidFill>
                  <a:srgbClr val="000000"/>
                </a:solidFill>
                <a:effectLst/>
                <a:latin typeface="Calibri" panose="020F0502020204030204" pitchFamily="34" charset="0"/>
                <a:ea typeface="Calibri" panose="020F0502020204030204" pitchFamily="34"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1" name="Shape 58379">
            <a:extLst>
              <a:ext uri="{FF2B5EF4-FFF2-40B4-BE49-F238E27FC236}">
                <a16:creationId xmlns:a16="http://schemas.microsoft.com/office/drawing/2014/main" xmlns="" id="{6B1EE9E9-840D-4EE0-99F3-957FDF5D7465}"/>
              </a:ext>
            </a:extLst>
          </xdr:cNvPr>
          <xdr:cNvSpPr/>
        </xdr:nvSpPr>
        <xdr:spPr>
          <a:xfrm>
            <a:off x="0" y="0"/>
            <a:ext cx="626364" cy="138684"/>
          </a:xfrm>
          <a:custGeom>
            <a:avLst/>
            <a:gdLst/>
            <a:ahLst/>
            <a:cxnLst/>
            <a:rect l="0" t="0" r="0" b="0"/>
            <a:pathLst>
              <a:path w="626364" h="138684">
                <a:moveTo>
                  <a:pt x="626364" y="0"/>
                </a:moveTo>
                <a:lnTo>
                  <a:pt x="0" y="138684"/>
                </a:lnTo>
              </a:path>
            </a:pathLst>
          </a:custGeom>
          <a:ln w="6096" cap="flat">
            <a:round/>
          </a:ln>
        </xdr:spPr>
        <xdr:style>
          <a:lnRef idx="1">
            <a:srgbClr val="000000"/>
          </a:lnRef>
          <a:fillRef idx="0">
            <a:srgbClr val="000000">
              <a:alpha val="0"/>
            </a:srgbClr>
          </a:fillRef>
          <a:effectRef idx="0">
            <a:scrgbClr r="0" g="0" b="0"/>
          </a:effectRef>
          <a:fontRef idx="none"/>
        </xdr:style>
        <xdr:txBody>
          <a:bodyPr/>
          <a:lstStyle/>
          <a:p>
            <a:endParaRPr lang="fr-FR"/>
          </a:p>
        </xdr:txBody>
      </xdr:sp>
    </xdr:grpSp>
    <xdr:clientData/>
  </xdr:twoCellAnchor>
  <xdr:twoCellAnchor>
    <xdr:from>
      <xdr:col>0</xdr:col>
      <xdr:colOff>27955</xdr:colOff>
      <xdr:row>0</xdr:row>
      <xdr:rowOff>0</xdr:rowOff>
    </xdr:from>
    <xdr:to>
      <xdr:col>4</xdr:col>
      <xdr:colOff>847725</xdr:colOff>
      <xdr:row>1</xdr:row>
      <xdr:rowOff>0</xdr:rowOff>
    </xdr:to>
    <xdr:grpSp>
      <xdr:nvGrpSpPr>
        <xdr:cNvPr id="52" name="Group 417403">
          <a:extLst>
            <a:ext uri="{FF2B5EF4-FFF2-40B4-BE49-F238E27FC236}">
              <a16:creationId xmlns:a16="http://schemas.microsoft.com/office/drawing/2014/main" xmlns="" id="{59F4941B-F1CB-438E-9B81-BB2F1DF1CEE3}"/>
            </a:ext>
          </a:extLst>
        </xdr:cNvPr>
        <xdr:cNvGrpSpPr/>
      </xdr:nvGrpSpPr>
      <xdr:grpSpPr>
        <a:xfrm>
          <a:off x="27955" y="0"/>
          <a:ext cx="7782545" cy="323850"/>
          <a:chOff x="-626" y="0"/>
          <a:chExt cx="5848976" cy="384175"/>
        </a:xfrm>
      </xdr:grpSpPr>
      <xdr:sp macro="" textlink="">
        <xdr:nvSpPr>
          <xdr:cNvPr id="53" name="Shape 508410">
            <a:extLst>
              <a:ext uri="{FF2B5EF4-FFF2-40B4-BE49-F238E27FC236}">
                <a16:creationId xmlns:a16="http://schemas.microsoft.com/office/drawing/2014/main" xmlns="" id="{DB272C76-A4EC-4E23-8EEC-E4C395CAC958}"/>
              </a:ext>
            </a:extLst>
          </xdr:cNvPr>
          <xdr:cNvSpPr/>
        </xdr:nvSpPr>
        <xdr:spPr>
          <a:xfrm>
            <a:off x="0" y="76200"/>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808080">
              <a:alpha val="50196"/>
            </a:srgbClr>
          </a:fillRef>
          <a:effectRef idx="0">
            <a:scrgbClr r="0" g="0" b="0"/>
          </a:effectRef>
          <a:fontRef idx="none"/>
        </xdr:style>
        <xdr:txBody>
          <a:bodyPr/>
          <a:lstStyle/>
          <a:p>
            <a:endParaRPr lang="fr-FR"/>
          </a:p>
        </xdr:txBody>
      </xdr:sp>
      <xdr:sp macro="" textlink="">
        <xdr:nvSpPr>
          <xdr:cNvPr id="54" name="Shape 508411">
            <a:extLst>
              <a:ext uri="{FF2B5EF4-FFF2-40B4-BE49-F238E27FC236}">
                <a16:creationId xmlns:a16="http://schemas.microsoft.com/office/drawing/2014/main" xmlns="" id="{0F498121-0C84-4A94-90C1-7049D35D08F1}"/>
              </a:ext>
            </a:extLst>
          </xdr:cNvPr>
          <xdr:cNvSpPr/>
        </xdr:nvSpPr>
        <xdr:spPr>
          <a:xfrm>
            <a:off x="-626" y="24011"/>
            <a:ext cx="5772150" cy="307975"/>
          </a:xfrm>
          <a:custGeom>
            <a:avLst/>
            <a:gdLst/>
            <a:ahLst/>
            <a:cxnLst/>
            <a:rect l="0" t="0" r="0" b="0"/>
            <a:pathLst>
              <a:path w="5772150" h="307975">
                <a:moveTo>
                  <a:pt x="0" y="0"/>
                </a:moveTo>
                <a:lnTo>
                  <a:pt x="5772150" y="0"/>
                </a:lnTo>
                <a:lnTo>
                  <a:pt x="5772150" y="307975"/>
                </a:lnTo>
                <a:lnTo>
                  <a:pt x="0" y="307975"/>
                </a:lnTo>
                <a:lnTo>
                  <a:pt x="0" y="0"/>
                </a:lnTo>
              </a:path>
            </a:pathLst>
          </a:custGeom>
          <a:ln w="0" cap="flat">
            <a:miter lim="127000"/>
          </a:ln>
        </xdr:spPr>
        <xdr:style>
          <a:lnRef idx="0">
            <a:srgbClr val="000000"/>
          </a:lnRef>
          <a:fillRef idx="1">
            <a:srgbClr val="4F81BD"/>
          </a:fillRef>
          <a:effectRef idx="0">
            <a:scrgbClr r="0" g="0" b="0"/>
          </a:effectRef>
          <a:fontRef idx="none"/>
        </xdr:style>
        <xdr:txBody>
          <a:bodyPr/>
          <a:lstStyle/>
          <a:p>
            <a:endParaRPr lang="fr-FR"/>
          </a:p>
        </xdr:txBody>
      </xdr:sp>
      <xdr:sp macro="" textlink="">
        <xdr:nvSpPr>
          <xdr:cNvPr id="55" name="Shape 55054">
            <a:extLst>
              <a:ext uri="{FF2B5EF4-FFF2-40B4-BE49-F238E27FC236}">
                <a16:creationId xmlns:a16="http://schemas.microsoft.com/office/drawing/2014/main" xmlns="" id="{34BCECAE-746D-4028-BEA1-A35204BCC1CC}"/>
              </a:ext>
            </a:extLst>
          </xdr:cNvPr>
          <xdr:cNvSpPr/>
        </xdr:nvSpPr>
        <xdr:spPr>
          <a:xfrm>
            <a:off x="76200" y="0"/>
            <a:ext cx="5772150" cy="307975"/>
          </a:xfrm>
          <a:custGeom>
            <a:avLst/>
            <a:gdLst/>
            <a:ahLst/>
            <a:cxnLst/>
            <a:rect l="0" t="0" r="0" b="0"/>
            <a:pathLst>
              <a:path w="5772150" h="307975">
                <a:moveTo>
                  <a:pt x="0" y="307975"/>
                </a:moveTo>
                <a:lnTo>
                  <a:pt x="5772150" y="307975"/>
                </a:lnTo>
                <a:lnTo>
                  <a:pt x="5772150" y="0"/>
                </a:lnTo>
                <a:lnTo>
                  <a:pt x="0" y="0"/>
                </a:lnTo>
                <a:close/>
              </a:path>
            </a:pathLst>
          </a:custGeom>
          <a:ln w="9525" cap="rnd">
            <a:miter lim="127000"/>
          </a:ln>
        </xdr:spPr>
        <xdr:style>
          <a:lnRef idx="1">
            <a:srgbClr val="000000"/>
          </a:lnRef>
          <a:fillRef idx="0">
            <a:srgbClr val="000000">
              <a:alpha val="0"/>
            </a:srgbClr>
          </a:fillRef>
          <a:effectRef idx="0">
            <a:scrgbClr r="0" g="0" b="0"/>
          </a:effectRef>
          <a:fontRef idx="none"/>
        </xdr:style>
        <xdr:txBody>
          <a:bodyPr/>
          <a:lstStyle/>
          <a:p>
            <a:endParaRPr lang="fr-FR"/>
          </a:p>
        </xdr:txBody>
      </xdr:sp>
      <xdr:sp macro="" textlink="">
        <xdr:nvSpPr>
          <xdr:cNvPr id="56" name="Rectangle 55">
            <a:extLst>
              <a:ext uri="{FF2B5EF4-FFF2-40B4-BE49-F238E27FC236}">
                <a16:creationId xmlns:a16="http://schemas.microsoft.com/office/drawing/2014/main" xmlns="" id="{341547DE-5EE5-4242-B8B9-182453826AD8}"/>
              </a:ext>
            </a:extLst>
          </xdr:cNvPr>
          <xdr:cNvSpPr/>
        </xdr:nvSpPr>
        <xdr:spPr>
          <a:xfrm>
            <a:off x="1689091" y="48022"/>
            <a:ext cx="537042" cy="268874"/>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NOTE 34 : </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7" name="Rectangle 56">
            <a:extLst>
              <a:ext uri="{FF2B5EF4-FFF2-40B4-BE49-F238E27FC236}">
                <a16:creationId xmlns:a16="http://schemas.microsoft.com/office/drawing/2014/main" xmlns="" id="{13E64464-3FF9-4231-8332-892C06CA7ED8}"/>
              </a:ext>
            </a:extLst>
          </xdr:cNvPr>
          <xdr:cNvSpPr/>
        </xdr:nvSpPr>
        <xdr:spPr>
          <a:xfrm>
            <a:off x="2200126" y="56026"/>
            <a:ext cx="3561792" cy="260870"/>
          </a:xfrm>
          <a:prstGeom prst="rect">
            <a:avLst/>
          </a:prstGeom>
          <a:ln>
            <a:noFill/>
          </a:ln>
        </xdr:spPr>
        <xdr:txBody>
          <a:bodyPr lIns="0" tIns="0" rIns="0" bIns="0" rtlCol="0">
            <a:noAutofit/>
          </a:bodyPr>
          <a:lstStyle/>
          <a:p>
            <a:pPr>
              <a:lnSpc>
                <a:spcPct val="115000"/>
              </a:lnSpc>
              <a:spcAft>
                <a:spcPts val="0"/>
              </a:spcAft>
            </a:pPr>
            <a:r>
              <a:rPr lang="fr-FR" sz="1100" b="1">
                <a:solidFill>
                  <a:srgbClr val="FFFFFF"/>
                </a:solidFill>
                <a:effectLst/>
                <a:latin typeface="Cambria" panose="02040503050406030204" pitchFamily="18" charset="0"/>
                <a:ea typeface="Cambria" panose="02040503050406030204" pitchFamily="18" charset="0"/>
                <a:cs typeface="Cambria" panose="02040503050406030204" pitchFamily="18" charset="0"/>
              </a:rPr>
              <a:t>SYNTHESE DES PRINCIPAUX INDICATEURS FINANCIERS</a:t>
            </a:r>
            <a:endParaRPr lang="fr-FR" sz="1100">
              <a:solidFill>
                <a:srgbClr val="000000"/>
              </a:solidFill>
              <a:effectLst/>
              <a:latin typeface="Calibri" panose="020F0502020204030204" pitchFamily="34" charset="0"/>
              <a:ea typeface="Calibri" panose="020F0502020204030204" pitchFamily="34" charset="0"/>
            </a:endParaRPr>
          </a:p>
        </xdr:txBody>
      </xdr:sp>
      <xdr:sp macro="" textlink="">
        <xdr:nvSpPr>
          <xdr:cNvPr id="58" name="Rectangle 57">
            <a:extLst>
              <a:ext uri="{FF2B5EF4-FFF2-40B4-BE49-F238E27FC236}">
                <a16:creationId xmlns:a16="http://schemas.microsoft.com/office/drawing/2014/main" xmlns="" id="{99972F83-4DCE-4E44-A190-0E76512A1D99}"/>
              </a:ext>
            </a:extLst>
          </xdr:cNvPr>
          <xdr:cNvSpPr/>
        </xdr:nvSpPr>
        <xdr:spPr>
          <a:xfrm>
            <a:off x="4815586" y="79746"/>
            <a:ext cx="52173" cy="237150"/>
          </a:xfrm>
          <a:prstGeom prst="rect">
            <a:avLst/>
          </a:prstGeom>
          <a:ln>
            <a:noFill/>
          </a:ln>
        </xdr:spPr>
        <xdr:txBody>
          <a:bodyPr lIns="0" tIns="0" rIns="0" bIns="0" rtlCol="0">
            <a:noAutofit/>
          </a:bodyPr>
          <a:lstStyle/>
          <a:p>
            <a:pPr>
              <a:lnSpc>
                <a:spcPct val="115000"/>
              </a:lnSpc>
              <a:spcAft>
                <a:spcPts val="0"/>
              </a:spcAft>
            </a:pPr>
            <a:r>
              <a:rPr lang="fr-FR" sz="1400" b="1">
                <a:solidFill>
                  <a:srgbClr val="FFFFFF"/>
                </a:solidFill>
                <a:effectLst/>
                <a:latin typeface="Cambria" panose="02040503050406030204" pitchFamily="18" charset="0"/>
                <a:ea typeface="Cambria" panose="02040503050406030204" pitchFamily="18" charset="0"/>
                <a:cs typeface="Cambria" panose="02040503050406030204" pitchFamily="18" charset="0"/>
              </a:rPr>
              <a:t> </a:t>
            </a:r>
            <a:endParaRPr lang="fr-FR" sz="1100">
              <a:solidFill>
                <a:srgbClr val="000000"/>
              </a:solidFill>
              <a:effectLst/>
              <a:latin typeface="Calibri" panose="020F0502020204030204" pitchFamily="34" charset="0"/>
              <a:ea typeface="Calibri" panose="020F0502020204030204" pitchFamily="34" charset="0"/>
            </a:endParaRPr>
          </a:p>
        </xdr:txBody>
      </xdr:sp>
    </xdr:grpSp>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1</xdr:rowOff>
    </xdr:from>
    <xdr:to>
      <xdr:col>0</xdr:col>
      <xdr:colOff>7610475</xdr:colOff>
      <xdr:row>1</xdr:row>
      <xdr:rowOff>114301</xdr:rowOff>
    </xdr:to>
    <xdr:sp macro="" textlink="">
      <xdr:nvSpPr>
        <xdr:cNvPr id="2" name="Zone de texte 14">
          <a:extLst>
            <a:ext uri="{FF2B5EF4-FFF2-40B4-BE49-F238E27FC236}">
              <a16:creationId xmlns:a16="http://schemas.microsoft.com/office/drawing/2014/main" xmlns="" id="{00000000-0008-0000-3500-000002000000}"/>
            </a:ext>
          </a:extLst>
        </xdr:cNvPr>
        <xdr:cNvSpPr txBox="1">
          <a:spLocks noChangeArrowheads="1"/>
        </xdr:cNvSpPr>
      </xdr:nvSpPr>
      <xdr:spPr bwMode="auto">
        <a:xfrm>
          <a:off x="0" y="1"/>
          <a:ext cx="7610475" cy="304800"/>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fr-FR" sz="1200" b="1" i="0" u="none" strike="noStrike" kern="0" cap="none" spc="0" normalizeH="0" baseline="0" noProof="0">
              <a:ln>
                <a:noFill/>
              </a:ln>
              <a:solidFill>
                <a:srgbClr val="FFFFFF"/>
              </a:solidFill>
              <a:effectLst/>
              <a:uLnTx/>
              <a:uFillTx/>
              <a:latin typeface="Cambria"/>
            </a:rPr>
            <a:t>NOTE 35 : LISTE DES INFORMATIONS SOCIALES, ENVIRONNEMENTALES ET SOCIETALES A FOURNIR</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0</xdr:col>
      <xdr:colOff>152400</xdr:colOff>
      <xdr:row>0</xdr:row>
      <xdr:rowOff>38100</xdr:rowOff>
    </xdr:from>
    <xdr:to>
      <xdr:col>5</xdr:col>
      <xdr:colOff>190500</xdr:colOff>
      <xdr:row>1</xdr:row>
      <xdr:rowOff>123825</xdr:rowOff>
    </xdr:to>
    <xdr:sp macro="" textlink="">
      <xdr:nvSpPr>
        <xdr:cNvPr id="2" name="Zone de texte 14">
          <a:extLst>
            <a:ext uri="{FF2B5EF4-FFF2-40B4-BE49-F238E27FC236}">
              <a16:creationId xmlns:a16="http://schemas.microsoft.com/office/drawing/2014/main" xmlns="" id="{00000000-0008-0000-3600-000001C80000}"/>
            </a:ext>
          </a:extLst>
        </xdr:cNvPr>
        <xdr:cNvSpPr txBox="1">
          <a:spLocks noChangeArrowheads="1"/>
        </xdr:cNvSpPr>
      </xdr:nvSpPr>
      <xdr:spPr bwMode="auto">
        <a:xfrm>
          <a:off x="152400" y="38100"/>
          <a:ext cx="5476875" cy="276225"/>
        </a:xfrm>
        <a:prstGeom prst="rect">
          <a:avLst/>
        </a:prstGeom>
        <a:solidFill>
          <a:srgbClr val="0070C0"/>
        </a:solidFill>
        <a:ln w="6350">
          <a:solidFill>
            <a:srgbClr val="000000"/>
          </a:solidFill>
          <a:miter lim="800000"/>
          <a:headEnd/>
          <a:tailEnd/>
        </a:ln>
        <a:effectLst>
          <a:outerShdw dist="50800" dir="7139970" algn="tr" rotWithShape="0">
            <a:srgbClr val="000000"/>
          </a:outerShdw>
        </a:effectLst>
      </xdr:spPr>
      <xdr:txBody>
        <a:bodyPr vertOverflow="clip" wrap="square" lIns="91440" tIns="45720" rIns="91440" bIns="45720" anchor="t" upright="1"/>
        <a:lstStyle/>
        <a:p>
          <a:pPr algn="l" rtl="0">
            <a:defRPr sz="1000"/>
          </a:pPr>
          <a:r>
            <a:rPr lang="fr-FR" sz="1200" b="1" i="0" u="none" strike="noStrike" baseline="0">
              <a:solidFill>
                <a:srgbClr val="FFFFFF"/>
              </a:solidFill>
              <a:latin typeface="Cambria"/>
            </a:rPr>
            <a:t>                                                  NOTE 36 : TABLE DES CODES</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er@tgur.ji"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topLeftCell="A28" workbookViewId="0">
      <selection activeCell="B12" sqref="B12:I12"/>
    </sheetView>
  </sheetViews>
  <sheetFormatPr baseColWidth="10" defaultRowHeight="14.25"/>
  <cols>
    <col min="1" max="1" width="3.7109375" style="568" customWidth="1"/>
    <col min="2" max="2" width="11.85546875" style="568" customWidth="1"/>
    <col min="3" max="4" width="11.42578125" style="568"/>
    <col min="5" max="5" width="9.7109375" style="568" customWidth="1"/>
    <col min="6" max="6" width="2.7109375" style="568" customWidth="1"/>
    <col min="7" max="7" width="9.7109375" style="568" customWidth="1"/>
    <col min="8" max="9" width="11.42578125" style="568"/>
    <col min="10" max="10" width="13.28515625" style="568" customWidth="1"/>
    <col min="11" max="229" width="11.42578125" style="568"/>
    <col min="230" max="230" width="2.7109375" style="568" customWidth="1"/>
    <col min="231" max="231" width="11.85546875" style="568" customWidth="1"/>
    <col min="232" max="233" width="11.42578125" style="568"/>
    <col min="234" max="234" width="9.7109375" style="568" customWidth="1"/>
    <col min="235" max="235" width="2.7109375" style="568" customWidth="1"/>
    <col min="236" max="236" width="9.7109375" style="568" customWidth="1"/>
    <col min="237" max="239" width="11.42578125" style="568"/>
    <col min="240" max="240" width="2.85546875" style="568" customWidth="1"/>
    <col min="241" max="485" width="11.42578125" style="568"/>
    <col min="486" max="486" width="2.7109375" style="568" customWidth="1"/>
    <col min="487" max="487" width="11.85546875" style="568" customWidth="1"/>
    <col min="488" max="489" width="11.42578125" style="568"/>
    <col min="490" max="490" width="9.7109375" style="568" customWidth="1"/>
    <col min="491" max="491" width="2.7109375" style="568" customWidth="1"/>
    <col min="492" max="492" width="9.7109375" style="568" customWidth="1"/>
    <col min="493" max="495" width="11.42578125" style="568"/>
    <col min="496" max="496" width="2.85546875" style="568" customWidth="1"/>
    <col min="497" max="741" width="11.42578125" style="568"/>
    <col min="742" max="742" width="2.7109375" style="568" customWidth="1"/>
    <col min="743" max="743" width="11.85546875" style="568" customWidth="1"/>
    <col min="744" max="745" width="11.42578125" style="568"/>
    <col min="746" max="746" width="9.7109375" style="568" customWidth="1"/>
    <col min="747" max="747" width="2.7109375" style="568" customWidth="1"/>
    <col min="748" max="748" width="9.7109375" style="568" customWidth="1"/>
    <col min="749" max="751" width="11.42578125" style="568"/>
    <col min="752" max="752" width="2.85546875" style="568" customWidth="1"/>
    <col min="753" max="997" width="11.42578125" style="568"/>
    <col min="998" max="998" width="2.7109375" style="568" customWidth="1"/>
    <col min="999" max="999" width="11.85546875" style="568" customWidth="1"/>
    <col min="1000" max="1001" width="11.42578125" style="568"/>
    <col min="1002" max="1002" width="9.7109375" style="568" customWidth="1"/>
    <col min="1003" max="1003" width="2.7109375" style="568" customWidth="1"/>
    <col min="1004" max="1004" width="9.7109375" style="568" customWidth="1"/>
    <col min="1005" max="1007" width="11.42578125" style="568"/>
    <col min="1008" max="1008" width="2.85546875" style="568" customWidth="1"/>
    <col min="1009" max="1253" width="11.42578125" style="568"/>
    <col min="1254" max="1254" width="2.7109375" style="568" customWidth="1"/>
    <col min="1255" max="1255" width="11.85546875" style="568" customWidth="1"/>
    <col min="1256" max="1257" width="11.42578125" style="568"/>
    <col min="1258" max="1258" width="9.7109375" style="568" customWidth="1"/>
    <col min="1259" max="1259" width="2.7109375" style="568" customWidth="1"/>
    <col min="1260" max="1260" width="9.7109375" style="568" customWidth="1"/>
    <col min="1261" max="1263" width="11.42578125" style="568"/>
    <col min="1264" max="1264" width="2.85546875" style="568" customWidth="1"/>
    <col min="1265" max="1509" width="11.42578125" style="568"/>
    <col min="1510" max="1510" width="2.7109375" style="568" customWidth="1"/>
    <col min="1511" max="1511" width="11.85546875" style="568" customWidth="1"/>
    <col min="1512" max="1513" width="11.42578125" style="568"/>
    <col min="1514" max="1514" width="9.7109375" style="568" customWidth="1"/>
    <col min="1515" max="1515" width="2.7109375" style="568" customWidth="1"/>
    <col min="1516" max="1516" width="9.7109375" style="568" customWidth="1"/>
    <col min="1517" max="1519" width="11.42578125" style="568"/>
    <col min="1520" max="1520" width="2.85546875" style="568" customWidth="1"/>
    <col min="1521" max="1765" width="11.42578125" style="568"/>
    <col min="1766" max="1766" width="2.7109375" style="568" customWidth="1"/>
    <col min="1767" max="1767" width="11.85546875" style="568" customWidth="1"/>
    <col min="1768" max="1769" width="11.42578125" style="568"/>
    <col min="1770" max="1770" width="9.7109375" style="568" customWidth="1"/>
    <col min="1771" max="1771" width="2.7109375" style="568" customWidth="1"/>
    <col min="1772" max="1772" width="9.7109375" style="568" customWidth="1"/>
    <col min="1773" max="1775" width="11.42578125" style="568"/>
    <col min="1776" max="1776" width="2.85546875" style="568" customWidth="1"/>
    <col min="1777" max="2021" width="11.42578125" style="568"/>
    <col min="2022" max="2022" width="2.7109375" style="568" customWidth="1"/>
    <col min="2023" max="2023" width="11.85546875" style="568" customWidth="1"/>
    <col min="2024" max="2025" width="11.42578125" style="568"/>
    <col min="2026" max="2026" width="9.7109375" style="568" customWidth="1"/>
    <col min="2027" max="2027" width="2.7109375" style="568" customWidth="1"/>
    <col min="2028" max="2028" width="9.7109375" style="568" customWidth="1"/>
    <col min="2029" max="2031" width="11.42578125" style="568"/>
    <col min="2032" max="2032" width="2.85546875" style="568" customWidth="1"/>
    <col min="2033" max="2277" width="11.42578125" style="568"/>
    <col min="2278" max="2278" width="2.7109375" style="568" customWidth="1"/>
    <col min="2279" max="2279" width="11.85546875" style="568" customWidth="1"/>
    <col min="2280" max="2281" width="11.42578125" style="568"/>
    <col min="2282" max="2282" width="9.7109375" style="568" customWidth="1"/>
    <col min="2283" max="2283" width="2.7109375" style="568" customWidth="1"/>
    <col min="2284" max="2284" width="9.7109375" style="568" customWidth="1"/>
    <col min="2285" max="2287" width="11.42578125" style="568"/>
    <col min="2288" max="2288" width="2.85546875" style="568" customWidth="1"/>
    <col min="2289" max="2533" width="11.42578125" style="568"/>
    <col min="2534" max="2534" width="2.7109375" style="568" customWidth="1"/>
    <col min="2535" max="2535" width="11.85546875" style="568" customWidth="1"/>
    <col min="2536" max="2537" width="11.42578125" style="568"/>
    <col min="2538" max="2538" width="9.7109375" style="568" customWidth="1"/>
    <col min="2539" max="2539" width="2.7109375" style="568" customWidth="1"/>
    <col min="2540" max="2540" width="9.7109375" style="568" customWidth="1"/>
    <col min="2541" max="2543" width="11.42578125" style="568"/>
    <col min="2544" max="2544" width="2.85546875" style="568" customWidth="1"/>
    <col min="2545" max="2789" width="11.42578125" style="568"/>
    <col min="2790" max="2790" width="2.7109375" style="568" customWidth="1"/>
    <col min="2791" max="2791" width="11.85546875" style="568" customWidth="1"/>
    <col min="2792" max="2793" width="11.42578125" style="568"/>
    <col min="2794" max="2794" width="9.7109375" style="568" customWidth="1"/>
    <col min="2795" max="2795" width="2.7109375" style="568" customWidth="1"/>
    <col min="2796" max="2796" width="9.7109375" style="568" customWidth="1"/>
    <col min="2797" max="2799" width="11.42578125" style="568"/>
    <col min="2800" max="2800" width="2.85546875" style="568" customWidth="1"/>
    <col min="2801" max="3045" width="11.42578125" style="568"/>
    <col min="3046" max="3046" width="2.7109375" style="568" customWidth="1"/>
    <col min="3047" max="3047" width="11.85546875" style="568" customWidth="1"/>
    <col min="3048" max="3049" width="11.42578125" style="568"/>
    <col min="3050" max="3050" width="9.7109375" style="568" customWidth="1"/>
    <col min="3051" max="3051" width="2.7109375" style="568" customWidth="1"/>
    <col min="3052" max="3052" width="9.7109375" style="568" customWidth="1"/>
    <col min="3053" max="3055" width="11.42578125" style="568"/>
    <col min="3056" max="3056" width="2.85546875" style="568" customWidth="1"/>
    <col min="3057" max="3301" width="11.42578125" style="568"/>
    <col min="3302" max="3302" width="2.7109375" style="568" customWidth="1"/>
    <col min="3303" max="3303" width="11.85546875" style="568" customWidth="1"/>
    <col min="3304" max="3305" width="11.42578125" style="568"/>
    <col min="3306" max="3306" width="9.7109375" style="568" customWidth="1"/>
    <col min="3307" max="3307" width="2.7109375" style="568" customWidth="1"/>
    <col min="3308" max="3308" width="9.7109375" style="568" customWidth="1"/>
    <col min="3309" max="3311" width="11.42578125" style="568"/>
    <col min="3312" max="3312" width="2.85546875" style="568" customWidth="1"/>
    <col min="3313" max="3557" width="11.42578125" style="568"/>
    <col min="3558" max="3558" width="2.7109375" style="568" customWidth="1"/>
    <col min="3559" max="3559" width="11.85546875" style="568" customWidth="1"/>
    <col min="3560" max="3561" width="11.42578125" style="568"/>
    <col min="3562" max="3562" width="9.7109375" style="568" customWidth="1"/>
    <col min="3563" max="3563" width="2.7109375" style="568" customWidth="1"/>
    <col min="3564" max="3564" width="9.7109375" style="568" customWidth="1"/>
    <col min="3565" max="3567" width="11.42578125" style="568"/>
    <col min="3568" max="3568" width="2.85546875" style="568" customWidth="1"/>
    <col min="3569" max="3813" width="11.42578125" style="568"/>
    <col min="3814" max="3814" width="2.7109375" style="568" customWidth="1"/>
    <col min="3815" max="3815" width="11.85546875" style="568" customWidth="1"/>
    <col min="3816" max="3817" width="11.42578125" style="568"/>
    <col min="3818" max="3818" width="9.7109375" style="568" customWidth="1"/>
    <col min="3819" max="3819" width="2.7109375" style="568" customWidth="1"/>
    <col min="3820" max="3820" width="9.7109375" style="568" customWidth="1"/>
    <col min="3821" max="3823" width="11.42578125" style="568"/>
    <col min="3824" max="3824" width="2.85546875" style="568" customWidth="1"/>
    <col min="3825" max="4069" width="11.42578125" style="568"/>
    <col min="4070" max="4070" width="2.7109375" style="568" customWidth="1"/>
    <col min="4071" max="4071" width="11.85546875" style="568" customWidth="1"/>
    <col min="4072" max="4073" width="11.42578125" style="568"/>
    <col min="4074" max="4074" width="9.7109375" style="568" customWidth="1"/>
    <col min="4075" max="4075" width="2.7109375" style="568" customWidth="1"/>
    <col min="4076" max="4076" width="9.7109375" style="568" customWidth="1"/>
    <col min="4077" max="4079" width="11.42578125" style="568"/>
    <col min="4080" max="4080" width="2.85546875" style="568" customWidth="1"/>
    <col min="4081" max="4325" width="11.42578125" style="568"/>
    <col min="4326" max="4326" width="2.7109375" style="568" customWidth="1"/>
    <col min="4327" max="4327" width="11.85546875" style="568" customWidth="1"/>
    <col min="4328" max="4329" width="11.42578125" style="568"/>
    <col min="4330" max="4330" width="9.7109375" style="568" customWidth="1"/>
    <col min="4331" max="4331" width="2.7109375" style="568" customWidth="1"/>
    <col min="4332" max="4332" width="9.7109375" style="568" customWidth="1"/>
    <col min="4333" max="4335" width="11.42578125" style="568"/>
    <col min="4336" max="4336" width="2.85546875" style="568" customWidth="1"/>
    <col min="4337" max="4581" width="11.42578125" style="568"/>
    <col min="4582" max="4582" width="2.7109375" style="568" customWidth="1"/>
    <col min="4583" max="4583" width="11.85546875" style="568" customWidth="1"/>
    <col min="4584" max="4585" width="11.42578125" style="568"/>
    <col min="4586" max="4586" width="9.7109375" style="568" customWidth="1"/>
    <col min="4587" max="4587" width="2.7109375" style="568" customWidth="1"/>
    <col min="4588" max="4588" width="9.7109375" style="568" customWidth="1"/>
    <col min="4589" max="4591" width="11.42578125" style="568"/>
    <col min="4592" max="4592" width="2.85546875" style="568" customWidth="1"/>
    <col min="4593" max="4837" width="11.42578125" style="568"/>
    <col min="4838" max="4838" width="2.7109375" style="568" customWidth="1"/>
    <col min="4839" max="4839" width="11.85546875" style="568" customWidth="1"/>
    <col min="4840" max="4841" width="11.42578125" style="568"/>
    <col min="4842" max="4842" width="9.7109375" style="568" customWidth="1"/>
    <col min="4843" max="4843" width="2.7109375" style="568" customWidth="1"/>
    <col min="4844" max="4844" width="9.7109375" style="568" customWidth="1"/>
    <col min="4845" max="4847" width="11.42578125" style="568"/>
    <col min="4848" max="4848" width="2.85546875" style="568" customWidth="1"/>
    <col min="4849" max="5093" width="11.42578125" style="568"/>
    <col min="5094" max="5094" width="2.7109375" style="568" customWidth="1"/>
    <col min="5095" max="5095" width="11.85546875" style="568" customWidth="1"/>
    <col min="5096" max="5097" width="11.42578125" style="568"/>
    <col min="5098" max="5098" width="9.7109375" style="568" customWidth="1"/>
    <col min="5099" max="5099" width="2.7109375" style="568" customWidth="1"/>
    <col min="5100" max="5100" width="9.7109375" style="568" customWidth="1"/>
    <col min="5101" max="5103" width="11.42578125" style="568"/>
    <col min="5104" max="5104" width="2.85546875" style="568" customWidth="1"/>
    <col min="5105" max="5349" width="11.42578125" style="568"/>
    <col min="5350" max="5350" width="2.7109375" style="568" customWidth="1"/>
    <col min="5351" max="5351" width="11.85546875" style="568" customWidth="1"/>
    <col min="5352" max="5353" width="11.42578125" style="568"/>
    <col min="5354" max="5354" width="9.7109375" style="568" customWidth="1"/>
    <col min="5355" max="5355" width="2.7109375" style="568" customWidth="1"/>
    <col min="5356" max="5356" width="9.7109375" style="568" customWidth="1"/>
    <col min="5357" max="5359" width="11.42578125" style="568"/>
    <col min="5360" max="5360" width="2.85546875" style="568" customWidth="1"/>
    <col min="5361" max="5605" width="11.42578125" style="568"/>
    <col min="5606" max="5606" width="2.7109375" style="568" customWidth="1"/>
    <col min="5607" max="5607" width="11.85546875" style="568" customWidth="1"/>
    <col min="5608" max="5609" width="11.42578125" style="568"/>
    <col min="5610" max="5610" width="9.7109375" style="568" customWidth="1"/>
    <col min="5611" max="5611" width="2.7109375" style="568" customWidth="1"/>
    <col min="5612" max="5612" width="9.7109375" style="568" customWidth="1"/>
    <col min="5613" max="5615" width="11.42578125" style="568"/>
    <col min="5616" max="5616" width="2.85546875" style="568" customWidth="1"/>
    <col min="5617" max="5861" width="11.42578125" style="568"/>
    <col min="5862" max="5862" width="2.7109375" style="568" customWidth="1"/>
    <col min="5863" max="5863" width="11.85546875" style="568" customWidth="1"/>
    <col min="5864" max="5865" width="11.42578125" style="568"/>
    <col min="5866" max="5866" width="9.7109375" style="568" customWidth="1"/>
    <col min="5867" max="5867" width="2.7109375" style="568" customWidth="1"/>
    <col min="5868" max="5868" width="9.7109375" style="568" customWidth="1"/>
    <col min="5869" max="5871" width="11.42578125" style="568"/>
    <col min="5872" max="5872" width="2.85546875" style="568" customWidth="1"/>
    <col min="5873" max="6117" width="11.42578125" style="568"/>
    <col min="6118" max="6118" width="2.7109375" style="568" customWidth="1"/>
    <col min="6119" max="6119" width="11.85546875" style="568" customWidth="1"/>
    <col min="6120" max="6121" width="11.42578125" style="568"/>
    <col min="6122" max="6122" width="9.7109375" style="568" customWidth="1"/>
    <col min="6123" max="6123" width="2.7109375" style="568" customWidth="1"/>
    <col min="6124" max="6124" width="9.7109375" style="568" customWidth="1"/>
    <col min="6125" max="6127" width="11.42578125" style="568"/>
    <col min="6128" max="6128" width="2.85546875" style="568" customWidth="1"/>
    <col min="6129" max="6373" width="11.42578125" style="568"/>
    <col min="6374" max="6374" width="2.7109375" style="568" customWidth="1"/>
    <col min="6375" max="6375" width="11.85546875" style="568" customWidth="1"/>
    <col min="6376" max="6377" width="11.42578125" style="568"/>
    <col min="6378" max="6378" width="9.7109375" style="568" customWidth="1"/>
    <col min="6379" max="6379" width="2.7109375" style="568" customWidth="1"/>
    <col min="6380" max="6380" width="9.7109375" style="568" customWidth="1"/>
    <col min="6381" max="6383" width="11.42578125" style="568"/>
    <col min="6384" max="6384" width="2.85546875" style="568" customWidth="1"/>
    <col min="6385" max="6629" width="11.42578125" style="568"/>
    <col min="6630" max="6630" width="2.7109375" style="568" customWidth="1"/>
    <col min="6631" max="6631" width="11.85546875" style="568" customWidth="1"/>
    <col min="6632" max="6633" width="11.42578125" style="568"/>
    <col min="6634" max="6634" width="9.7109375" style="568" customWidth="1"/>
    <col min="6635" max="6635" width="2.7109375" style="568" customWidth="1"/>
    <col min="6636" max="6636" width="9.7109375" style="568" customWidth="1"/>
    <col min="6637" max="6639" width="11.42578125" style="568"/>
    <col min="6640" max="6640" width="2.85546875" style="568" customWidth="1"/>
    <col min="6641" max="6885" width="11.42578125" style="568"/>
    <col min="6886" max="6886" width="2.7109375" style="568" customWidth="1"/>
    <col min="6887" max="6887" width="11.85546875" style="568" customWidth="1"/>
    <col min="6888" max="6889" width="11.42578125" style="568"/>
    <col min="6890" max="6890" width="9.7109375" style="568" customWidth="1"/>
    <col min="6891" max="6891" width="2.7109375" style="568" customWidth="1"/>
    <col min="6892" max="6892" width="9.7109375" style="568" customWidth="1"/>
    <col min="6893" max="6895" width="11.42578125" style="568"/>
    <col min="6896" max="6896" width="2.85546875" style="568" customWidth="1"/>
    <col min="6897" max="7141" width="11.42578125" style="568"/>
    <col min="7142" max="7142" width="2.7109375" style="568" customWidth="1"/>
    <col min="7143" max="7143" width="11.85546875" style="568" customWidth="1"/>
    <col min="7144" max="7145" width="11.42578125" style="568"/>
    <col min="7146" max="7146" width="9.7109375" style="568" customWidth="1"/>
    <col min="7147" max="7147" width="2.7109375" style="568" customWidth="1"/>
    <col min="7148" max="7148" width="9.7109375" style="568" customWidth="1"/>
    <col min="7149" max="7151" width="11.42578125" style="568"/>
    <col min="7152" max="7152" width="2.85546875" style="568" customWidth="1"/>
    <col min="7153" max="7397" width="11.42578125" style="568"/>
    <col min="7398" max="7398" width="2.7109375" style="568" customWidth="1"/>
    <col min="7399" max="7399" width="11.85546875" style="568" customWidth="1"/>
    <col min="7400" max="7401" width="11.42578125" style="568"/>
    <col min="7402" max="7402" width="9.7109375" style="568" customWidth="1"/>
    <col min="7403" max="7403" width="2.7109375" style="568" customWidth="1"/>
    <col min="7404" max="7404" width="9.7109375" style="568" customWidth="1"/>
    <col min="7405" max="7407" width="11.42578125" style="568"/>
    <col min="7408" max="7408" width="2.85546875" style="568" customWidth="1"/>
    <col min="7409" max="7653" width="11.42578125" style="568"/>
    <col min="7654" max="7654" width="2.7109375" style="568" customWidth="1"/>
    <col min="7655" max="7655" width="11.85546875" style="568" customWidth="1"/>
    <col min="7656" max="7657" width="11.42578125" style="568"/>
    <col min="7658" max="7658" width="9.7109375" style="568" customWidth="1"/>
    <col min="7659" max="7659" width="2.7109375" style="568" customWidth="1"/>
    <col min="7660" max="7660" width="9.7109375" style="568" customWidth="1"/>
    <col min="7661" max="7663" width="11.42578125" style="568"/>
    <col min="7664" max="7664" width="2.85546875" style="568" customWidth="1"/>
    <col min="7665" max="7909" width="11.42578125" style="568"/>
    <col min="7910" max="7910" width="2.7109375" style="568" customWidth="1"/>
    <col min="7911" max="7911" width="11.85546875" style="568" customWidth="1"/>
    <col min="7912" max="7913" width="11.42578125" style="568"/>
    <col min="7914" max="7914" width="9.7109375" style="568" customWidth="1"/>
    <col min="7915" max="7915" width="2.7109375" style="568" customWidth="1"/>
    <col min="7916" max="7916" width="9.7109375" style="568" customWidth="1"/>
    <col min="7917" max="7919" width="11.42578125" style="568"/>
    <col min="7920" max="7920" width="2.85546875" style="568" customWidth="1"/>
    <col min="7921" max="8165" width="11.42578125" style="568"/>
    <col min="8166" max="8166" width="2.7109375" style="568" customWidth="1"/>
    <col min="8167" max="8167" width="11.85546875" style="568" customWidth="1"/>
    <col min="8168" max="8169" width="11.42578125" style="568"/>
    <col min="8170" max="8170" width="9.7109375" style="568" customWidth="1"/>
    <col min="8171" max="8171" width="2.7109375" style="568" customWidth="1"/>
    <col min="8172" max="8172" width="9.7109375" style="568" customWidth="1"/>
    <col min="8173" max="8175" width="11.42578125" style="568"/>
    <col min="8176" max="8176" width="2.85546875" style="568" customWidth="1"/>
    <col min="8177" max="8421" width="11.42578125" style="568"/>
    <col min="8422" max="8422" width="2.7109375" style="568" customWidth="1"/>
    <col min="8423" max="8423" width="11.85546875" style="568" customWidth="1"/>
    <col min="8424" max="8425" width="11.42578125" style="568"/>
    <col min="8426" max="8426" width="9.7109375" style="568" customWidth="1"/>
    <col min="8427" max="8427" width="2.7109375" style="568" customWidth="1"/>
    <col min="8428" max="8428" width="9.7109375" style="568" customWidth="1"/>
    <col min="8429" max="8431" width="11.42578125" style="568"/>
    <col min="8432" max="8432" width="2.85546875" style="568" customWidth="1"/>
    <col min="8433" max="8677" width="11.42578125" style="568"/>
    <col min="8678" max="8678" width="2.7109375" style="568" customWidth="1"/>
    <col min="8679" max="8679" width="11.85546875" style="568" customWidth="1"/>
    <col min="8680" max="8681" width="11.42578125" style="568"/>
    <col min="8682" max="8682" width="9.7109375" style="568" customWidth="1"/>
    <col min="8683" max="8683" width="2.7109375" style="568" customWidth="1"/>
    <col min="8684" max="8684" width="9.7109375" style="568" customWidth="1"/>
    <col min="8685" max="8687" width="11.42578125" style="568"/>
    <col min="8688" max="8688" width="2.85546875" style="568" customWidth="1"/>
    <col min="8689" max="8933" width="11.42578125" style="568"/>
    <col min="8934" max="8934" width="2.7109375" style="568" customWidth="1"/>
    <col min="8935" max="8935" width="11.85546875" style="568" customWidth="1"/>
    <col min="8936" max="8937" width="11.42578125" style="568"/>
    <col min="8938" max="8938" width="9.7109375" style="568" customWidth="1"/>
    <col min="8939" max="8939" width="2.7109375" style="568" customWidth="1"/>
    <col min="8940" max="8940" width="9.7109375" style="568" customWidth="1"/>
    <col min="8941" max="8943" width="11.42578125" style="568"/>
    <col min="8944" max="8944" width="2.85546875" style="568" customWidth="1"/>
    <col min="8945" max="9189" width="11.42578125" style="568"/>
    <col min="9190" max="9190" width="2.7109375" style="568" customWidth="1"/>
    <col min="9191" max="9191" width="11.85546875" style="568" customWidth="1"/>
    <col min="9192" max="9193" width="11.42578125" style="568"/>
    <col min="9194" max="9194" width="9.7109375" style="568" customWidth="1"/>
    <col min="9195" max="9195" width="2.7109375" style="568" customWidth="1"/>
    <col min="9196" max="9196" width="9.7109375" style="568" customWidth="1"/>
    <col min="9197" max="9199" width="11.42578125" style="568"/>
    <col min="9200" max="9200" width="2.85546875" style="568" customWidth="1"/>
    <col min="9201" max="9445" width="11.42578125" style="568"/>
    <col min="9446" max="9446" width="2.7109375" style="568" customWidth="1"/>
    <col min="9447" max="9447" width="11.85546875" style="568" customWidth="1"/>
    <col min="9448" max="9449" width="11.42578125" style="568"/>
    <col min="9450" max="9450" width="9.7109375" style="568" customWidth="1"/>
    <col min="9451" max="9451" width="2.7109375" style="568" customWidth="1"/>
    <col min="9452" max="9452" width="9.7109375" style="568" customWidth="1"/>
    <col min="9453" max="9455" width="11.42578125" style="568"/>
    <col min="9456" max="9456" width="2.85546875" style="568" customWidth="1"/>
    <col min="9457" max="9701" width="11.42578125" style="568"/>
    <col min="9702" max="9702" width="2.7109375" style="568" customWidth="1"/>
    <col min="9703" max="9703" width="11.85546875" style="568" customWidth="1"/>
    <col min="9704" max="9705" width="11.42578125" style="568"/>
    <col min="9706" max="9706" width="9.7109375" style="568" customWidth="1"/>
    <col min="9707" max="9707" width="2.7109375" style="568" customWidth="1"/>
    <col min="9708" max="9708" width="9.7109375" style="568" customWidth="1"/>
    <col min="9709" max="9711" width="11.42578125" style="568"/>
    <col min="9712" max="9712" width="2.85546875" style="568" customWidth="1"/>
    <col min="9713" max="9957" width="11.42578125" style="568"/>
    <col min="9958" max="9958" width="2.7109375" style="568" customWidth="1"/>
    <col min="9959" max="9959" width="11.85546875" style="568" customWidth="1"/>
    <col min="9960" max="9961" width="11.42578125" style="568"/>
    <col min="9962" max="9962" width="9.7109375" style="568" customWidth="1"/>
    <col min="9963" max="9963" width="2.7109375" style="568" customWidth="1"/>
    <col min="9964" max="9964" width="9.7109375" style="568" customWidth="1"/>
    <col min="9965" max="9967" width="11.42578125" style="568"/>
    <col min="9968" max="9968" width="2.85546875" style="568" customWidth="1"/>
    <col min="9969" max="10213" width="11.42578125" style="568"/>
    <col min="10214" max="10214" width="2.7109375" style="568" customWidth="1"/>
    <col min="10215" max="10215" width="11.85546875" style="568" customWidth="1"/>
    <col min="10216" max="10217" width="11.42578125" style="568"/>
    <col min="10218" max="10218" width="9.7109375" style="568" customWidth="1"/>
    <col min="10219" max="10219" width="2.7109375" style="568" customWidth="1"/>
    <col min="10220" max="10220" width="9.7109375" style="568" customWidth="1"/>
    <col min="10221" max="10223" width="11.42578125" style="568"/>
    <col min="10224" max="10224" width="2.85546875" style="568" customWidth="1"/>
    <col min="10225" max="10469" width="11.42578125" style="568"/>
    <col min="10470" max="10470" width="2.7109375" style="568" customWidth="1"/>
    <col min="10471" max="10471" width="11.85546875" style="568" customWidth="1"/>
    <col min="10472" max="10473" width="11.42578125" style="568"/>
    <col min="10474" max="10474" width="9.7109375" style="568" customWidth="1"/>
    <col min="10475" max="10475" width="2.7109375" style="568" customWidth="1"/>
    <col min="10476" max="10476" width="9.7109375" style="568" customWidth="1"/>
    <col min="10477" max="10479" width="11.42578125" style="568"/>
    <col min="10480" max="10480" width="2.85546875" style="568" customWidth="1"/>
    <col min="10481" max="10725" width="11.42578125" style="568"/>
    <col min="10726" max="10726" width="2.7109375" style="568" customWidth="1"/>
    <col min="10727" max="10727" width="11.85546875" style="568" customWidth="1"/>
    <col min="10728" max="10729" width="11.42578125" style="568"/>
    <col min="10730" max="10730" width="9.7109375" style="568" customWidth="1"/>
    <col min="10731" max="10731" width="2.7109375" style="568" customWidth="1"/>
    <col min="10732" max="10732" width="9.7109375" style="568" customWidth="1"/>
    <col min="10733" max="10735" width="11.42578125" style="568"/>
    <col min="10736" max="10736" width="2.85546875" style="568" customWidth="1"/>
    <col min="10737" max="10981" width="11.42578125" style="568"/>
    <col min="10982" max="10982" width="2.7109375" style="568" customWidth="1"/>
    <col min="10983" max="10983" width="11.85546875" style="568" customWidth="1"/>
    <col min="10984" max="10985" width="11.42578125" style="568"/>
    <col min="10986" max="10986" width="9.7109375" style="568" customWidth="1"/>
    <col min="10987" max="10987" width="2.7109375" style="568" customWidth="1"/>
    <col min="10988" max="10988" width="9.7109375" style="568" customWidth="1"/>
    <col min="10989" max="10991" width="11.42578125" style="568"/>
    <col min="10992" max="10992" width="2.85546875" style="568" customWidth="1"/>
    <col min="10993" max="11237" width="11.42578125" style="568"/>
    <col min="11238" max="11238" width="2.7109375" style="568" customWidth="1"/>
    <col min="11239" max="11239" width="11.85546875" style="568" customWidth="1"/>
    <col min="11240" max="11241" width="11.42578125" style="568"/>
    <col min="11242" max="11242" width="9.7109375" style="568" customWidth="1"/>
    <col min="11243" max="11243" width="2.7109375" style="568" customWidth="1"/>
    <col min="11244" max="11244" width="9.7109375" style="568" customWidth="1"/>
    <col min="11245" max="11247" width="11.42578125" style="568"/>
    <col min="11248" max="11248" width="2.85546875" style="568" customWidth="1"/>
    <col min="11249" max="11493" width="11.42578125" style="568"/>
    <col min="11494" max="11494" width="2.7109375" style="568" customWidth="1"/>
    <col min="11495" max="11495" width="11.85546875" style="568" customWidth="1"/>
    <col min="11496" max="11497" width="11.42578125" style="568"/>
    <col min="11498" max="11498" width="9.7109375" style="568" customWidth="1"/>
    <col min="11499" max="11499" width="2.7109375" style="568" customWidth="1"/>
    <col min="11500" max="11500" width="9.7109375" style="568" customWidth="1"/>
    <col min="11501" max="11503" width="11.42578125" style="568"/>
    <col min="11504" max="11504" width="2.85546875" style="568" customWidth="1"/>
    <col min="11505" max="11749" width="11.42578125" style="568"/>
    <col min="11750" max="11750" width="2.7109375" style="568" customWidth="1"/>
    <col min="11751" max="11751" width="11.85546875" style="568" customWidth="1"/>
    <col min="11752" max="11753" width="11.42578125" style="568"/>
    <col min="11754" max="11754" width="9.7109375" style="568" customWidth="1"/>
    <col min="11755" max="11755" width="2.7109375" style="568" customWidth="1"/>
    <col min="11756" max="11756" width="9.7109375" style="568" customWidth="1"/>
    <col min="11757" max="11759" width="11.42578125" style="568"/>
    <col min="11760" max="11760" width="2.85546875" style="568" customWidth="1"/>
    <col min="11761" max="12005" width="11.42578125" style="568"/>
    <col min="12006" max="12006" width="2.7109375" style="568" customWidth="1"/>
    <col min="12007" max="12007" width="11.85546875" style="568" customWidth="1"/>
    <col min="12008" max="12009" width="11.42578125" style="568"/>
    <col min="12010" max="12010" width="9.7109375" style="568" customWidth="1"/>
    <col min="12011" max="12011" width="2.7109375" style="568" customWidth="1"/>
    <col min="12012" max="12012" width="9.7109375" style="568" customWidth="1"/>
    <col min="12013" max="12015" width="11.42578125" style="568"/>
    <col min="12016" max="12016" width="2.85546875" style="568" customWidth="1"/>
    <col min="12017" max="12261" width="11.42578125" style="568"/>
    <col min="12262" max="12262" width="2.7109375" style="568" customWidth="1"/>
    <col min="12263" max="12263" width="11.85546875" style="568" customWidth="1"/>
    <col min="12264" max="12265" width="11.42578125" style="568"/>
    <col min="12266" max="12266" width="9.7109375" style="568" customWidth="1"/>
    <col min="12267" max="12267" width="2.7109375" style="568" customWidth="1"/>
    <col min="12268" max="12268" width="9.7109375" style="568" customWidth="1"/>
    <col min="12269" max="12271" width="11.42578125" style="568"/>
    <col min="12272" max="12272" width="2.85546875" style="568" customWidth="1"/>
    <col min="12273" max="12517" width="11.42578125" style="568"/>
    <col min="12518" max="12518" width="2.7109375" style="568" customWidth="1"/>
    <col min="12519" max="12519" width="11.85546875" style="568" customWidth="1"/>
    <col min="12520" max="12521" width="11.42578125" style="568"/>
    <col min="12522" max="12522" width="9.7109375" style="568" customWidth="1"/>
    <col min="12523" max="12523" width="2.7109375" style="568" customWidth="1"/>
    <col min="12524" max="12524" width="9.7109375" style="568" customWidth="1"/>
    <col min="12525" max="12527" width="11.42578125" style="568"/>
    <col min="12528" max="12528" width="2.85546875" style="568" customWidth="1"/>
    <col min="12529" max="12773" width="11.42578125" style="568"/>
    <col min="12774" max="12774" width="2.7109375" style="568" customWidth="1"/>
    <col min="12775" max="12775" width="11.85546875" style="568" customWidth="1"/>
    <col min="12776" max="12777" width="11.42578125" style="568"/>
    <col min="12778" max="12778" width="9.7109375" style="568" customWidth="1"/>
    <col min="12779" max="12779" width="2.7109375" style="568" customWidth="1"/>
    <col min="12780" max="12780" width="9.7109375" style="568" customWidth="1"/>
    <col min="12781" max="12783" width="11.42578125" style="568"/>
    <col min="12784" max="12784" width="2.85546875" style="568" customWidth="1"/>
    <col min="12785" max="13029" width="11.42578125" style="568"/>
    <col min="13030" max="13030" width="2.7109375" style="568" customWidth="1"/>
    <col min="13031" max="13031" width="11.85546875" style="568" customWidth="1"/>
    <col min="13032" max="13033" width="11.42578125" style="568"/>
    <col min="13034" max="13034" width="9.7109375" style="568" customWidth="1"/>
    <col min="13035" max="13035" width="2.7109375" style="568" customWidth="1"/>
    <col min="13036" max="13036" width="9.7109375" style="568" customWidth="1"/>
    <col min="13037" max="13039" width="11.42578125" style="568"/>
    <col min="13040" max="13040" width="2.85546875" style="568" customWidth="1"/>
    <col min="13041" max="13285" width="11.42578125" style="568"/>
    <col min="13286" max="13286" width="2.7109375" style="568" customWidth="1"/>
    <col min="13287" max="13287" width="11.85546875" style="568" customWidth="1"/>
    <col min="13288" max="13289" width="11.42578125" style="568"/>
    <col min="13290" max="13290" width="9.7109375" style="568" customWidth="1"/>
    <col min="13291" max="13291" width="2.7109375" style="568" customWidth="1"/>
    <col min="13292" max="13292" width="9.7109375" style="568" customWidth="1"/>
    <col min="13293" max="13295" width="11.42578125" style="568"/>
    <col min="13296" max="13296" width="2.85546875" style="568" customWidth="1"/>
    <col min="13297" max="13541" width="11.42578125" style="568"/>
    <col min="13542" max="13542" width="2.7109375" style="568" customWidth="1"/>
    <col min="13543" max="13543" width="11.85546875" style="568" customWidth="1"/>
    <col min="13544" max="13545" width="11.42578125" style="568"/>
    <col min="13546" max="13546" width="9.7109375" style="568" customWidth="1"/>
    <col min="13547" max="13547" width="2.7109375" style="568" customWidth="1"/>
    <col min="13548" max="13548" width="9.7109375" style="568" customWidth="1"/>
    <col min="13549" max="13551" width="11.42578125" style="568"/>
    <col min="13552" max="13552" width="2.85546875" style="568" customWidth="1"/>
    <col min="13553" max="13797" width="11.42578125" style="568"/>
    <col min="13798" max="13798" width="2.7109375" style="568" customWidth="1"/>
    <col min="13799" max="13799" width="11.85546875" style="568" customWidth="1"/>
    <col min="13800" max="13801" width="11.42578125" style="568"/>
    <col min="13802" max="13802" width="9.7109375" style="568" customWidth="1"/>
    <col min="13803" max="13803" width="2.7109375" style="568" customWidth="1"/>
    <col min="13804" max="13804" width="9.7109375" style="568" customWidth="1"/>
    <col min="13805" max="13807" width="11.42578125" style="568"/>
    <col min="13808" max="13808" width="2.85546875" style="568" customWidth="1"/>
    <col min="13809" max="14053" width="11.42578125" style="568"/>
    <col min="14054" max="14054" width="2.7109375" style="568" customWidth="1"/>
    <col min="14055" max="14055" width="11.85546875" style="568" customWidth="1"/>
    <col min="14056" max="14057" width="11.42578125" style="568"/>
    <col min="14058" max="14058" width="9.7109375" style="568" customWidth="1"/>
    <col min="14059" max="14059" width="2.7109375" style="568" customWidth="1"/>
    <col min="14060" max="14060" width="9.7109375" style="568" customWidth="1"/>
    <col min="14061" max="14063" width="11.42578125" style="568"/>
    <col min="14064" max="14064" width="2.85546875" style="568" customWidth="1"/>
    <col min="14065" max="14309" width="11.42578125" style="568"/>
    <col min="14310" max="14310" width="2.7109375" style="568" customWidth="1"/>
    <col min="14311" max="14311" width="11.85546875" style="568" customWidth="1"/>
    <col min="14312" max="14313" width="11.42578125" style="568"/>
    <col min="14314" max="14314" width="9.7109375" style="568" customWidth="1"/>
    <col min="14315" max="14315" width="2.7109375" style="568" customWidth="1"/>
    <col min="14316" max="14316" width="9.7109375" style="568" customWidth="1"/>
    <col min="14317" max="14319" width="11.42578125" style="568"/>
    <col min="14320" max="14320" width="2.85546875" style="568" customWidth="1"/>
    <col min="14321" max="14565" width="11.42578125" style="568"/>
    <col min="14566" max="14566" width="2.7109375" style="568" customWidth="1"/>
    <col min="14567" max="14567" width="11.85546875" style="568" customWidth="1"/>
    <col min="14568" max="14569" width="11.42578125" style="568"/>
    <col min="14570" max="14570" width="9.7109375" style="568" customWidth="1"/>
    <col min="14571" max="14571" width="2.7109375" style="568" customWidth="1"/>
    <col min="14572" max="14572" width="9.7109375" style="568" customWidth="1"/>
    <col min="14573" max="14575" width="11.42578125" style="568"/>
    <col min="14576" max="14576" width="2.85546875" style="568" customWidth="1"/>
    <col min="14577" max="14821" width="11.42578125" style="568"/>
    <col min="14822" max="14822" width="2.7109375" style="568" customWidth="1"/>
    <col min="14823" max="14823" width="11.85546875" style="568" customWidth="1"/>
    <col min="14824" max="14825" width="11.42578125" style="568"/>
    <col min="14826" max="14826" width="9.7109375" style="568" customWidth="1"/>
    <col min="14827" max="14827" width="2.7109375" style="568" customWidth="1"/>
    <col min="14828" max="14828" width="9.7109375" style="568" customWidth="1"/>
    <col min="14829" max="14831" width="11.42578125" style="568"/>
    <col min="14832" max="14832" width="2.85546875" style="568" customWidth="1"/>
    <col min="14833" max="15077" width="11.42578125" style="568"/>
    <col min="15078" max="15078" width="2.7109375" style="568" customWidth="1"/>
    <col min="15079" max="15079" width="11.85546875" style="568" customWidth="1"/>
    <col min="15080" max="15081" width="11.42578125" style="568"/>
    <col min="15082" max="15082" width="9.7109375" style="568" customWidth="1"/>
    <col min="15083" max="15083" width="2.7109375" style="568" customWidth="1"/>
    <col min="15084" max="15084" width="9.7109375" style="568" customWidth="1"/>
    <col min="15085" max="15087" width="11.42578125" style="568"/>
    <col min="15088" max="15088" width="2.85546875" style="568" customWidth="1"/>
    <col min="15089" max="15333" width="11.42578125" style="568"/>
    <col min="15334" max="15334" width="2.7109375" style="568" customWidth="1"/>
    <col min="15335" max="15335" width="11.85546875" style="568" customWidth="1"/>
    <col min="15336" max="15337" width="11.42578125" style="568"/>
    <col min="15338" max="15338" width="9.7109375" style="568" customWidth="1"/>
    <col min="15339" max="15339" width="2.7109375" style="568" customWidth="1"/>
    <col min="15340" max="15340" width="9.7109375" style="568" customWidth="1"/>
    <col min="15341" max="15343" width="11.42578125" style="568"/>
    <col min="15344" max="15344" width="2.85546875" style="568" customWidth="1"/>
    <col min="15345" max="15589" width="11.42578125" style="568"/>
    <col min="15590" max="15590" width="2.7109375" style="568" customWidth="1"/>
    <col min="15591" max="15591" width="11.85546875" style="568" customWidth="1"/>
    <col min="15592" max="15593" width="11.42578125" style="568"/>
    <col min="15594" max="15594" width="9.7109375" style="568" customWidth="1"/>
    <col min="15595" max="15595" width="2.7109375" style="568" customWidth="1"/>
    <col min="15596" max="15596" width="9.7109375" style="568" customWidth="1"/>
    <col min="15597" max="15599" width="11.42578125" style="568"/>
    <col min="15600" max="15600" width="2.85546875" style="568" customWidth="1"/>
    <col min="15601" max="15845" width="11.42578125" style="568"/>
    <col min="15846" max="15846" width="2.7109375" style="568" customWidth="1"/>
    <col min="15847" max="15847" width="11.85546875" style="568" customWidth="1"/>
    <col min="15848" max="15849" width="11.42578125" style="568"/>
    <col min="15850" max="15850" width="9.7109375" style="568" customWidth="1"/>
    <col min="15851" max="15851" width="2.7109375" style="568" customWidth="1"/>
    <col min="15852" max="15852" width="9.7109375" style="568" customWidth="1"/>
    <col min="15853" max="15855" width="11.42578125" style="568"/>
    <col min="15856" max="15856" width="2.85546875" style="568" customWidth="1"/>
    <col min="15857" max="16101" width="11.42578125" style="568"/>
    <col min="16102" max="16102" width="2.7109375" style="568" customWidth="1"/>
    <col min="16103" max="16103" width="11.85546875" style="568" customWidth="1"/>
    <col min="16104" max="16105" width="11.42578125" style="568"/>
    <col min="16106" max="16106" width="9.7109375" style="568" customWidth="1"/>
    <col min="16107" max="16107" width="2.7109375" style="568" customWidth="1"/>
    <col min="16108" max="16108" width="9.7109375" style="568" customWidth="1"/>
    <col min="16109" max="16111" width="11.42578125" style="568"/>
    <col min="16112" max="16112" width="2.85546875" style="568" customWidth="1"/>
    <col min="16113" max="16384" width="11.42578125" style="568"/>
  </cols>
  <sheetData>
    <row r="1" spans="1:10" ht="15">
      <c r="A1" s="1186"/>
      <c r="B1" s="1186"/>
      <c r="C1" s="1186"/>
      <c r="D1" s="1186"/>
      <c r="E1" s="1186"/>
      <c r="F1" s="1186"/>
      <c r="G1" s="1186"/>
      <c r="H1" s="1186"/>
      <c r="I1" s="1186"/>
      <c r="J1" s="612"/>
    </row>
    <row r="4" spans="1:10" ht="15" thickBot="1"/>
    <row r="5" spans="1:10">
      <c r="A5" s="611"/>
      <c r="B5" s="610"/>
      <c r="C5" s="610"/>
      <c r="D5" s="610"/>
      <c r="E5" s="610"/>
      <c r="F5" s="610"/>
      <c r="G5" s="610"/>
      <c r="H5" s="610"/>
      <c r="I5" s="610"/>
      <c r="J5" s="609"/>
    </row>
    <row r="6" spans="1:10" ht="18" customHeight="1">
      <c r="A6" s="598" t="s">
        <v>1632</v>
      </c>
      <c r="B6" s="608"/>
      <c r="C6" s="608"/>
      <c r="D6" s="608"/>
      <c r="E6" s="608"/>
      <c r="F6" s="604"/>
      <c r="H6" s="607"/>
      <c r="J6" s="587"/>
    </row>
    <row r="7" spans="1:10" ht="18" customHeight="1">
      <c r="A7" s="598"/>
      <c r="B7" s="606"/>
      <c r="C7" s="605"/>
      <c r="D7" s="604"/>
      <c r="E7" s="604"/>
      <c r="F7" s="604"/>
      <c r="J7" s="587"/>
    </row>
    <row r="8" spans="1:10" ht="18" customHeight="1">
      <c r="A8" s="598" t="s">
        <v>1635</v>
      </c>
      <c r="B8" s="604"/>
      <c r="C8" s="604"/>
      <c r="D8" s="604"/>
      <c r="E8" s="604"/>
      <c r="F8" s="604"/>
      <c r="J8" s="587"/>
    </row>
    <row r="9" spans="1:10">
      <c r="A9" s="577"/>
      <c r="B9" s="1194"/>
      <c r="C9" s="1194"/>
      <c r="D9" s="1194"/>
      <c r="E9" s="1194"/>
      <c r="F9" s="603"/>
      <c r="J9" s="587"/>
    </row>
    <row r="10" spans="1:10">
      <c r="A10" s="577"/>
      <c r="J10" s="587"/>
    </row>
    <row r="11" spans="1:10">
      <c r="A11" s="577"/>
      <c r="J11" s="586"/>
    </row>
    <row r="12" spans="1:10" ht="15">
      <c r="A12" s="598" t="s">
        <v>1549</v>
      </c>
      <c r="B12" s="1195" t="s">
        <v>1681</v>
      </c>
      <c r="C12" s="1195"/>
      <c r="D12" s="1195"/>
      <c r="E12" s="1195"/>
      <c r="F12" s="1195"/>
      <c r="G12" s="1195"/>
      <c r="H12" s="1195"/>
      <c r="I12" s="1195"/>
      <c r="J12" s="602"/>
    </row>
    <row r="13" spans="1:10">
      <c r="A13" s="577"/>
      <c r="J13" s="586"/>
    </row>
    <row r="14" spans="1:10">
      <c r="A14" s="577"/>
      <c r="J14" s="587"/>
    </row>
    <row r="15" spans="1:10">
      <c r="A15" s="577"/>
      <c r="J15" s="586"/>
    </row>
    <row r="16" spans="1:10" ht="15">
      <c r="A16" s="577"/>
      <c r="C16" s="1190" t="s">
        <v>1548</v>
      </c>
      <c r="D16" s="1190"/>
      <c r="E16" s="1190"/>
      <c r="F16" s="1190"/>
      <c r="G16" s="1190"/>
      <c r="H16" s="1190"/>
      <c r="I16" s="1190"/>
      <c r="J16" s="587"/>
    </row>
    <row r="17" spans="1:10" ht="12.75" customHeight="1">
      <c r="A17" s="577"/>
      <c r="C17" s="1191" t="s">
        <v>1547</v>
      </c>
      <c r="D17" s="1191"/>
      <c r="E17" s="1191"/>
      <c r="F17" s="1191"/>
      <c r="G17" s="1191"/>
      <c r="H17" s="1191"/>
      <c r="I17" s="1191"/>
      <c r="J17" s="587"/>
    </row>
    <row r="18" spans="1:10" ht="24.75">
      <c r="A18" s="577"/>
      <c r="D18" s="1196"/>
      <c r="E18" s="1196"/>
      <c r="F18" s="1196"/>
      <c r="G18" s="1196"/>
      <c r="H18" s="1196"/>
      <c r="J18" s="587"/>
    </row>
    <row r="19" spans="1:10">
      <c r="A19" s="577"/>
      <c r="C19" s="569"/>
      <c r="D19" s="569"/>
      <c r="E19" s="569"/>
      <c r="H19" s="569"/>
      <c r="I19" s="569"/>
      <c r="J19" s="586"/>
    </row>
    <row r="20" spans="1:10" ht="15">
      <c r="A20" s="577"/>
      <c r="C20" s="595"/>
      <c r="D20" s="775" t="s">
        <v>1633</v>
      </c>
      <c r="E20" s="601"/>
      <c r="F20" s="601"/>
      <c r="G20" s="1205" t="str">
        <f>_ExerClos</f>
        <v>Exercice clos le 31/12/2025</v>
      </c>
      <c r="H20" s="1206"/>
      <c r="I20" s="1207"/>
      <c r="J20" s="587"/>
    </row>
    <row r="21" spans="1:10">
      <c r="A21" s="577"/>
      <c r="B21" s="569"/>
      <c r="C21" s="569"/>
      <c r="D21" s="569"/>
      <c r="E21" s="600"/>
      <c r="F21" s="600"/>
      <c r="G21" s="600"/>
      <c r="H21" s="569"/>
      <c r="I21" s="569"/>
      <c r="J21" s="586"/>
    </row>
    <row r="22" spans="1:10">
      <c r="A22" s="577"/>
      <c r="J22" s="587"/>
    </row>
    <row r="23" spans="1:10" ht="15">
      <c r="A23" s="577"/>
      <c r="D23" s="1192" t="s">
        <v>1546</v>
      </c>
      <c r="E23" s="1192"/>
      <c r="F23" s="1192"/>
      <c r="G23" s="1192"/>
      <c r="H23" s="1192"/>
      <c r="J23" s="587"/>
    </row>
    <row r="24" spans="1:10" ht="15">
      <c r="A24" s="577"/>
      <c r="C24" s="569"/>
      <c r="D24" s="569"/>
      <c r="E24" s="569"/>
      <c r="I24" s="599"/>
      <c r="J24" s="586"/>
    </row>
    <row r="25" spans="1:10" ht="15">
      <c r="A25" s="598" t="s">
        <v>1545</v>
      </c>
      <c r="B25" s="868" t="s">
        <v>1667</v>
      </c>
      <c r="C25" s="868"/>
      <c r="D25" s="868"/>
      <c r="E25" s="1195" t="str">
        <f>_soNom</f>
        <v>Cecotra</v>
      </c>
      <c r="F25" s="1195"/>
      <c r="G25" s="1195"/>
      <c r="H25" s="1195"/>
      <c r="I25" s="1195"/>
      <c r="J25" s="1197"/>
    </row>
    <row r="26" spans="1:10" ht="15" customHeight="1">
      <c r="A26" s="1187" t="s">
        <v>1544</v>
      </c>
      <c r="B26" s="1188"/>
      <c r="C26" s="1188"/>
      <c r="D26" s="1188"/>
      <c r="E26" s="1188"/>
      <c r="F26" s="1188"/>
      <c r="G26" s="1188"/>
      <c r="H26" s="1188"/>
      <c r="I26" s="1188"/>
      <c r="J26" s="1189"/>
    </row>
    <row r="27" spans="1:10" ht="15">
      <c r="A27" s="577"/>
      <c r="B27" s="597"/>
      <c r="C27" s="569"/>
      <c r="D27" s="569"/>
      <c r="E27" s="569"/>
      <c r="F27" s="569"/>
      <c r="G27" s="569"/>
      <c r="H27" s="569"/>
      <c r="I27" s="569"/>
      <c r="J27" s="586"/>
    </row>
    <row r="28" spans="1:10">
      <c r="A28" s="596" t="s">
        <v>1543</v>
      </c>
      <c r="B28" s="1200"/>
      <c r="C28" s="1200"/>
      <c r="D28" s="1200"/>
      <c r="E28" s="1200"/>
      <c r="F28" s="1200"/>
      <c r="G28" s="1200"/>
      <c r="H28" s="1200"/>
      <c r="I28" s="1200"/>
      <c r="J28" s="1201"/>
    </row>
    <row r="29" spans="1:10">
      <c r="A29" s="596"/>
      <c r="B29" s="595"/>
      <c r="C29" s="595"/>
      <c r="D29" s="595"/>
      <c r="E29" s="595"/>
      <c r="F29" s="595"/>
      <c r="G29" s="595"/>
      <c r="H29" s="595"/>
      <c r="I29" s="595"/>
      <c r="J29" s="594"/>
    </row>
    <row r="30" spans="1:10" ht="15">
      <c r="A30" s="593" t="s">
        <v>1542</v>
      </c>
      <c r="B30" s="773" t="s">
        <v>1655</v>
      </c>
      <c r="C30" s="592"/>
      <c r="D30" s="592"/>
      <c r="E30" s="592"/>
      <c r="F30" s="591"/>
      <c r="G30" s="591"/>
      <c r="H30" s="591"/>
      <c r="I30" s="591"/>
      <c r="J30" s="590"/>
    </row>
    <row r="31" spans="1:10">
      <c r="A31" s="577"/>
      <c r="B31" s="569"/>
      <c r="C31" s="569"/>
      <c r="D31" s="569"/>
      <c r="E31" s="569"/>
      <c r="F31" s="569"/>
      <c r="G31" s="569"/>
      <c r="H31" s="569"/>
      <c r="I31" s="569"/>
      <c r="J31" s="586"/>
    </row>
    <row r="32" spans="1:10" ht="15" customHeight="1">
      <c r="A32" s="577"/>
      <c r="B32" s="774" t="s">
        <v>1656</v>
      </c>
      <c r="C32" s="574"/>
      <c r="D32" s="574"/>
      <c r="E32" s="756"/>
      <c r="F32" s="756"/>
      <c r="G32" s="756"/>
      <c r="H32" s="756"/>
      <c r="I32" s="756"/>
      <c r="J32" s="757"/>
    </row>
    <row r="33" spans="1:10" ht="16.5" customHeight="1">
      <c r="A33" s="577"/>
      <c r="D33" s="569"/>
      <c r="E33" s="1202"/>
      <c r="F33" s="1203"/>
      <c r="G33" s="1203"/>
      <c r="H33" s="1203"/>
      <c r="I33" s="1203"/>
      <c r="J33" s="1204"/>
    </row>
    <row r="34" spans="1:10" ht="15">
      <c r="A34" s="577"/>
      <c r="B34" s="869" t="s">
        <v>1657</v>
      </c>
      <c r="C34" s="869"/>
      <c r="D34" s="869"/>
      <c r="E34" s="1198" t="str">
        <f>_soId</f>
        <v> 3201810353457</v>
      </c>
      <c r="F34" s="1198"/>
      <c r="G34" s="1198"/>
      <c r="H34" s="1198"/>
      <c r="I34" s="1198"/>
      <c r="J34" s="1199"/>
    </row>
    <row r="35" spans="1:10">
      <c r="A35" s="577"/>
      <c r="B35" s="569"/>
      <c r="C35" s="569"/>
      <c r="D35" s="569"/>
      <c r="E35" s="569"/>
      <c r="F35" s="569"/>
      <c r="G35" s="569"/>
      <c r="H35" s="569"/>
      <c r="I35" s="569"/>
      <c r="J35" s="586"/>
    </row>
    <row r="36" spans="1:10" ht="8.25" customHeight="1">
      <c r="A36" s="577"/>
      <c r="J36" s="587"/>
    </row>
    <row r="37" spans="1:10" ht="15">
      <c r="A37" s="577"/>
      <c r="E37" s="589" t="s">
        <v>1541</v>
      </c>
      <c r="F37" s="589"/>
      <c r="H37" s="588"/>
      <c r="J37" s="587"/>
    </row>
    <row r="38" spans="1:10">
      <c r="A38" s="577"/>
      <c r="B38" s="569"/>
      <c r="C38" s="569"/>
      <c r="D38" s="569"/>
      <c r="E38" s="569"/>
      <c r="F38" s="569"/>
      <c r="G38" s="569"/>
      <c r="H38" s="569"/>
      <c r="I38" s="569"/>
      <c r="J38" s="586"/>
    </row>
    <row r="39" spans="1:10">
      <c r="A39" s="577"/>
      <c r="B39" s="569"/>
      <c r="C39" s="569"/>
      <c r="D39" s="569"/>
      <c r="E39" s="569"/>
      <c r="F39" s="569"/>
      <c r="G39" s="569"/>
      <c r="H39" s="569"/>
      <c r="I39" s="569"/>
      <c r="J39" s="586"/>
    </row>
    <row r="40" spans="1:10" ht="15">
      <c r="A40" s="577"/>
      <c r="B40" s="1192" t="s">
        <v>1540</v>
      </c>
      <c r="C40" s="1192"/>
      <c r="D40" s="1192"/>
      <c r="E40" s="1192"/>
      <c r="F40" s="569"/>
      <c r="G40" s="1192" t="s">
        <v>1539</v>
      </c>
      <c r="H40" s="1192"/>
      <c r="I40" s="1192"/>
      <c r="J40" s="1193"/>
    </row>
    <row r="41" spans="1:10" ht="12" customHeight="1">
      <c r="A41" s="577"/>
      <c r="B41" s="849"/>
      <c r="C41" s="850"/>
      <c r="D41" s="850"/>
      <c r="E41" s="847"/>
      <c r="F41" s="569"/>
      <c r="G41" s="1166" t="s">
        <v>1538</v>
      </c>
      <c r="H41" s="1167"/>
      <c r="I41" s="1167"/>
      <c r="J41" s="1168"/>
    </row>
    <row r="42" spans="1:10">
      <c r="A42" s="577"/>
      <c r="B42" s="1179" t="s">
        <v>1537</v>
      </c>
      <c r="C42" s="1180"/>
      <c r="D42" s="1180"/>
      <c r="E42" s="848" t="s">
        <v>1634</v>
      </c>
      <c r="F42" s="569"/>
      <c r="G42" s="1169"/>
      <c r="H42" s="1170"/>
      <c r="I42" s="1170"/>
      <c r="J42" s="1171"/>
    </row>
    <row r="43" spans="1:10">
      <c r="A43" s="577"/>
      <c r="B43" s="851" t="s">
        <v>1536</v>
      </c>
      <c r="C43" s="852"/>
      <c r="D43" s="853" t="s">
        <v>0</v>
      </c>
      <c r="E43" s="848" t="s">
        <v>1634</v>
      </c>
      <c r="F43" s="569"/>
      <c r="G43" s="1166"/>
      <c r="H43" s="1167"/>
      <c r="I43" s="1167"/>
      <c r="J43" s="1168"/>
    </row>
    <row r="44" spans="1:10">
      <c r="A44" s="577"/>
      <c r="B44" s="851" t="s">
        <v>1535</v>
      </c>
      <c r="C44" s="852"/>
      <c r="D44" s="853" t="s">
        <v>0</v>
      </c>
      <c r="E44" s="848" t="s">
        <v>1634</v>
      </c>
      <c r="F44" s="569"/>
      <c r="G44" s="1169"/>
      <c r="H44" s="1170"/>
      <c r="I44" s="1170"/>
      <c r="J44" s="1171"/>
    </row>
    <row r="45" spans="1:10">
      <c r="A45" s="577"/>
      <c r="B45" s="1181" t="s">
        <v>1534</v>
      </c>
      <c r="C45" s="1182"/>
      <c r="D45" s="1182"/>
      <c r="E45" s="848" t="s">
        <v>1634</v>
      </c>
      <c r="F45" s="569"/>
      <c r="G45" s="1183" t="s">
        <v>1533</v>
      </c>
      <c r="H45" s="1184"/>
      <c r="I45" s="1184"/>
      <c r="J45" s="1185"/>
    </row>
    <row r="46" spans="1:10">
      <c r="A46" s="577"/>
      <c r="B46" s="854" t="s">
        <v>1532</v>
      </c>
      <c r="C46" s="855"/>
      <c r="D46" s="855"/>
      <c r="E46" s="848" t="s">
        <v>1634</v>
      </c>
      <c r="F46" s="569"/>
      <c r="G46" s="585"/>
      <c r="H46" s="584"/>
      <c r="I46" s="584"/>
      <c r="J46" s="583"/>
    </row>
    <row r="47" spans="1:10" ht="15">
      <c r="A47" s="577"/>
      <c r="B47" s="856"/>
      <c r="C47" s="857"/>
      <c r="D47" s="858" t="s">
        <v>0</v>
      </c>
      <c r="E47" s="859"/>
      <c r="F47" s="569"/>
      <c r="G47" s="575"/>
      <c r="H47" s="582" t="s">
        <v>0</v>
      </c>
      <c r="I47" s="574"/>
      <c r="J47" s="573"/>
    </row>
    <row r="48" spans="1:10">
      <c r="A48" s="577"/>
      <c r="B48" s="1174" t="s">
        <v>1531</v>
      </c>
      <c r="C48" s="1175"/>
      <c r="D48" s="1175"/>
      <c r="E48" s="860"/>
      <c r="G48" s="1176" t="s">
        <v>1530</v>
      </c>
      <c r="H48" s="1177"/>
      <c r="I48" s="1177"/>
      <c r="J48" s="1178"/>
    </row>
    <row r="49" spans="1:10" ht="15">
      <c r="A49" s="577"/>
      <c r="B49" s="1172" t="s">
        <v>1529</v>
      </c>
      <c r="C49" s="1173"/>
      <c r="D49" s="1173"/>
      <c r="E49" s="760"/>
      <c r="G49" s="581"/>
      <c r="H49" s="580" t="s">
        <v>0</v>
      </c>
      <c r="I49" s="579"/>
      <c r="J49" s="578"/>
    </row>
    <row r="50" spans="1:10">
      <c r="A50" s="577"/>
      <c r="B50" s="575"/>
      <c r="C50" s="574"/>
      <c r="D50" s="574"/>
      <c r="E50" s="576"/>
      <c r="F50" s="569"/>
      <c r="G50" s="575"/>
      <c r="H50" s="574"/>
      <c r="I50" s="574"/>
      <c r="J50" s="573"/>
    </row>
    <row r="51" spans="1:10" ht="15" thickBot="1">
      <c r="A51" s="572"/>
      <c r="B51" s="571"/>
      <c r="C51" s="571"/>
      <c r="D51" s="571"/>
      <c r="E51" s="571"/>
      <c r="F51" s="571"/>
      <c r="G51" s="571"/>
      <c r="H51" s="571"/>
      <c r="I51" s="571"/>
      <c r="J51" s="570"/>
    </row>
  </sheetData>
  <mergeCells count="23">
    <mergeCell ref="B40:E40"/>
    <mergeCell ref="G40:J40"/>
    <mergeCell ref="B9:E9"/>
    <mergeCell ref="B12:I12"/>
    <mergeCell ref="D18:H18"/>
    <mergeCell ref="E25:J25"/>
    <mergeCell ref="E34:J34"/>
    <mergeCell ref="B28:J28"/>
    <mergeCell ref="E33:J33"/>
    <mergeCell ref="G20:I20"/>
    <mergeCell ref="A1:I1"/>
    <mergeCell ref="A26:J26"/>
    <mergeCell ref="C16:I16"/>
    <mergeCell ref="C17:I17"/>
    <mergeCell ref="D23:H23"/>
    <mergeCell ref="G41:J42"/>
    <mergeCell ref="G43:J44"/>
    <mergeCell ref="B49:D49"/>
    <mergeCell ref="B48:D48"/>
    <mergeCell ref="G48:J48"/>
    <mergeCell ref="B42:D42"/>
    <mergeCell ref="B45:D45"/>
    <mergeCell ref="G45:J4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I67"/>
  <sheetViews>
    <sheetView topLeftCell="A10" zoomScale="80" zoomScaleNormal="80" workbookViewId="0">
      <selection activeCell="BH65" sqref="BH65"/>
    </sheetView>
  </sheetViews>
  <sheetFormatPr baseColWidth="10" defaultRowHeight="15"/>
  <cols>
    <col min="1" max="1" width="2" style="613" customWidth="1"/>
    <col min="2" max="2" width="5.7109375" style="613" customWidth="1"/>
    <col min="3" max="6" width="1" style="613" customWidth="1"/>
    <col min="7" max="8" width="4.28515625" style="613" customWidth="1"/>
    <col min="9" max="16" width="2.7109375" style="613" customWidth="1"/>
    <col min="17" max="17" width="1.5703125" style="613" customWidth="1"/>
    <col min="18" max="20" width="2.7109375" style="613" customWidth="1"/>
    <col min="21" max="21" width="1.42578125" style="613" customWidth="1"/>
    <col min="22" max="22" width="1.85546875" style="613" customWidth="1"/>
    <col min="23" max="23" width="2.85546875" style="613" customWidth="1"/>
    <col min="24" max="25" width="2.7109375" style="613" customWidth="1"/>
    <col min="26" max="26" width="2.85546875" style="613" customWidth="1"/>
    <col min="27" max="28" width="3.140625" style="613" customWidth="1"/>
    <col min="29" max="29" width="2.28515625" style="613" customWidth="1"/>
    <col min="30" max="30" width="2.7109375" style="613" customWidth="1"/>
    <col min="31" max="31" width="1.28515625" style="613" customWidth="1"/>
    <col min="32" max="32" width="1.140625" style="613" customWidth="1"/>
    <col min="33" max="33" width="2.7109375" style="613" customWidth="1"/>
    <col min="34" max="35" width="1.28515625" style="613" customWidth="1"/>
    <col min="36" max="38" width="3.42578125" style="613" customWidth="1"/>
    <col min="39" max="39" width="2.7109375" style="613" customWidth="1"/>
    <col min="40" max="40" width="6.7109375" style="613" customWidth="1"/>
    <col min="41" max="41" width="4.28515625" style="613" customWidth="1"/>
    <col min="42" max="42" width="3.7109375" style="613" customWidth="1"/>
    <col min="43" max="43" width="5.42578125" style="613" customWidth="1"/>
    <col min="44" max="44" width="2.7109375" style="613" customWidth="1"/>
    <col min="45" max="45" width="4.42578125" style="613" customWidth="1"/>
    <col min="46" max="61" width="2.7109375" style="613" customWidth="1"/>
    <col min="62" max="263" width="11.42578125" style="613"/>
    <col min="264" max="264" width="3.5703125" style="613" customWidth="1"/>
    <col min="265" max="265" width="2.7109375" style="613" customWidth="1"/>
    <col min="266" max="266" width="1" style="613" customWidth="1"/>
    <col min="267" max="267" width="4.28515625" style="613" customWidth="1"/>
    <col min="268" max="274" width="2.7109375" style="613" customWidth="1"/>
    <col min="275" max="275" width="1.5703125" style="613" customWidth="1"/>
    <col min="276" max="278" width="2.7109375" style="613" customWidth="1"/>
    <col min="279" max="279" width="1.42578125" style="613" customWidth="1"/>
    <col min="280" max="280" width="1.85546875" style="613" customWidth="1"/>
    <col min="281" max="281" width="2.85546875" style="613" customWidth="1"/>
    <col min="282" max="283" width="2.7109375" style="613" customWidth="1"/>
    <col min="284" max="284" width="2.85546875" style="613" customWidth="1"/>
    <col min="285" max="286" width="3.140625" style="613" customWidth="1"/>
    <col min="287" max="287" width="2.28515625" style="613" customWidth="1"/>
    <col min="288" max="288" width="2.7109375" style="613" customWidth="1"/>
    <col min="289" max="289" width="1.28515625" style="613" customWidth="1"/>
    <col min="290" max="290" width="1.140625" style="613" customWidth="1"/>
    <col min="291" max="291" width="2.7109375" style="613" customWidth="1"/>
    <col min="292" max="293" width="1.28515625" style="613" customWidth="1"/>
    <col min="294" max="294" width="3.42578125" style="613" customWidth="1"/>
    <col min="295" max="295" width="2.7109375" style="613" customWidth="1"/>
    <col min="296" max="296" width="6.7109375" style="613" customWidth="1"/>
    <col min="297" max="297" width="4.28515625" style="613" customWidth="1"/>
    <col min="298" max="298" width="3.7109375" style="613" customWidth="1"/>
    <col min="299" max="299" width="5.42578125" style="613" customWidth="1"/>
    <col min="300" max="300" width="2.7109375" style="613" customWidth="1"/>
    <col min="301" max="301" width="4.42578125" style="613" customWidth="1"/>
    <col min="302" max="317" width="2.7109375" style="613" customWidth="1"/>
    <col min="318" max="519" width="11.42578125" style="613"/>
    <col min="520" max="520" width="3.5703125" style="613" customWidth="1"/>
    <col min="521" max="521" width="2.7109375" style="613" customWidth="1"/>
    <col min="522" max="522" width="1" style="613" customWidth="1"/>
    <col min="523" max="523" width="4.28515625" style="613" customWidth="1"/>
    <col min="524" max="530" width="2.7109375" style="613" customWidth="1"/>
    <col min="531" max="531" width="1.5703125" style="613" customWidth="1"/>
    <col min="532" max="534" width="2.7109375" style="613" customWidth="1"/>
    <col min="535" max="535" width="1.42578125" style="613" customWidth="1"/>
    <col min="536" max="536" width="1.85546875" style="613" customWidth="1"/>
    <col min="537" max="537" width="2.85546875" style="613" customWidth="1"/>
    <col min="538" max="539" width="2.7109375" style="613" customWidth="1"/>
    <col min="540" max="540" width="2.85546875" style="613" customWidth="1"/>
    <col min="541" max="542" width="3.140625" style="613" customWidth="1"/>
    <col min="543" max="543" width="2.28515625" style="613" customWidth="1"/>
    <col min="544" max="544" width="2.7109375" style="613" customWidth="1"/>
    <col min="545" max="545" width="1.28515625" style="613" customWidth="1"/>
    <col min="546" max="546" width="1.140625" style="613" customWidth="1"/>
    <col min="547" max="547" width="2.7109375" style="613" customWidth="1"/>
    <col min="548" max="549" width="1.28515625" style="613" customWidth="1"/>
    <col min="550" max="550" width="3.42578125" style="613" customWidth="1"/>
    <col min="551" max="551" width="2.7109375" style="613" customWidth="1"/>
    <col min="552" max="552" width="6.7109375" style="613" customWidth="1"/>
    <col min="553" max="553" width="4.28515625" style="613" customWidth="1"/>
    <col min="554" max="554" width="3.7109375" style="613" customWidth="1"/>
    <col min="555" max="555" width="5.42578125" style="613" customWidth="1"/>
    <col min="556" max="556" width="2.7109375" style="613" customWidth="1"/>
    <col min="557" max="557" width="4.42578125" style="613" customWidth="1"/>
    <col min="558" max="573" width="2.7109375" style="613" customWidth="1"/>
    <col min="574" max="775" width="11.42578125" style="613"/>
    <col min="776" max="776" width="3.5703125" style="613" customWidth="1"/>
    <col min="777" max="777" width="2.7109375" style="613" customWidth="1"/>
    <col min="778" max="778" width="1" style="613" customWidth="1"/>
    <col min="779" max="779" width="4.28515625" style="613" customWidth="1"/>
    <col min="780" max="786" width="2.7109375" style="613" customWidth="1"/>
    <col min="787" max="787" width="1.5703125" style="613" customWidth="1"/>
    <col min="788" max="790" width="2.7109375" style="613" customWidth="1"/>
    <col min="791" max="791" width="1.42578125" style="613" customWidth="1"/>
    <col min="792" max="792" width="1.85546875" style="613" customWidth="1"/>
    <col min="793" max="793" width="2.85546875" style="613" customWidth="1"/>
    <col min="794" max="795" width="2.7109375" style="613" customWidth="1"/>
    <col min="796" max="796" width="2.85546875" style="613" customWidth="1"/>
    <col min="797" max="798" width="3.140625" style="613" customWidth="1"/>
    <col min="799" max="799" width="2.28515625" style="613" customWidth="1"/>
    <col min="800" max="800" width="2.7109375" style="613" customWidth="1"/>
    <col min="801" max="801" width="1.28515625" style="613" customWidth="1"/>
    <col min="802" max="802" width="1.140625" style="613" customWidth="1"/>
    <col min="803" max="803" width="2.7109375" style="613" customWidth="1"/>
    <col min="804" max="805" width="1.28515625" style="613" customWidth="1"/>
    <col min="806" max="806" width="3.42578125" style="613" customWidth="1"/>
    <col min="807" max="807" width="2.7109375" style="613" customWidth="1"/>
    <col min="808" max="808" width="6.7109375" style="613" customWidth="1"/>
    <col min="809" max="809" width="4.28515625" style="613" customWidth="1"/>
    <col min="810" max="810" width="3.7109375" style="613" customWidth="1"/>
    <col min="811" max="811" width="5.42578125" style="613" customWidth="1"/>
    <col min="812" max="812" width="2.7109375" style="613" customWidth="1"/>
    <col min="813" max="813" width="4.42578125" style="613" customWidth="1"/>
    <col min="814" max="829" width="2.7109375" style="613" customWidth="1"/>
    <col min="830" max="1031" width="11.42578125" style="613"/>
    <col min="1032" max="1032" width="3.5703125" style="613" customWidth="1"/>
    <col min="1033" max="1033" width="2.7109375" style="613" customWidth="1"/>
    <col min="1034" max="1034" width="1" style="613" customWidth="1"/>
    <col min="1035" max="1035" width="4.28515625" style="613" customWidth="1"/>
    <col min="1036" max="1042" width="2.7109375" style="613" customWidth="1"/>
    <col min="1043" max="1043" width="1.5703125" style="613" customWidth="1"/>
    <col min="1044" max="1046" width="2.7109375" style="613" customWidth="1"/>
    <col min="1047" max="1047" width="1.42578125" style="613" customWidth="1"/>
    <col min="1048" max="1048" width="1.85546875" style="613" customWidth="1"/>
    <col min="1049" max="1049" width="2.85546875" style="613" customWidth="1"/>
    <col min="1050" max="1051" width="2.7109375" style="613" customWidth="1"/>
    <col min="1052" max="1052" width="2.85546875" style="613" customWidth="1"/>
    <col min="1053" max="1054" width="3.140625" style="613" customWidth="1"/>
    <col min="1055" max="1055" width="2.28515625" style="613" customWidth="1"/>
    <col min="1056" max="1056" width="2.7109375" style="613" customWidth="1"/>
    <col min="1057" max="1057" width="1.28515625" style="613" customWidth="1"/>
    <col min="1058" max="1058" width="1.140625" style="613" customWidth="1"/>
    <col min="1059" max="1059" width="2.7109375" style="613" customWidth="1"/>
    <col min="1060" max="1061" width="1.28515625" style="613" customWidth="1"/>
    <col min="1062" max="1062" width="3.42578125" style="613" customWidth="1"/>
    <col min="1063" max="1063" width="2.7109375" style="613" customWidth="1"/>
    <col min="1064" max="1064" width="6.7109375" style="613" customWidth="1"/>
    <col min="1065" max="1065" width="4.28515625" style="613" customWidth="1"/>
    <col min="1066" max="1066" width="3.7109375" style="613" customWidth="1"/>
    <col min="1067" max="1067" width="5.42578125" style="613" customWidth="1"/>
    <col min="1068" max="1068" width="2.7109375" style="613" customWidth="1"/>
    <col min="1069" max="1069" width="4.42578125" style="613" customWidth="1"/>
    <col min="1070" max="1085" width="2.7109375" style="613" customWidth="1"/>
    <col min="1086" max="1287" width="11.42578125" style="613"/>
    <col min="1288" max="1288" width="3.5703125" style="613" customWidth="1"/>
    <col min="1289" max="1289" width="2.7109375" style="613" customWidth="1"/>
    <col min="1290" max="1290" width="1" style="613" customWidth="1"/>
    <col min="1291" max="1291" width="4.28515625" style="613" customWidth="1"/>
    <col min="1292" max="1298" width="2.7109375" style="613" customWidth="1"/>
    <col min="1299" max="1299" width="1.5703125" style="613" customWidth="1"/>
    <col min="1300" max="1302" width="2.7109375" style="613" customWidth="1"/>
    <col min="1303" max="1303" width="1.42578125" style="613" customWidth="1"/>
    <col min="1304" max="1304" width="1.85546875" style="613" customWidth="1"/>
    <col min="1305" max="1305" width="2.85546875" style="613" customWidth="1"/>
    <col min="1306" max="1307" width="2.7109375" style="613" customWidth="1"/>
    <col min="1308" max="1308" width="2.85546875" style="613" customWidth="1"/>
    <col min="1309" max="1310" width="3.140625" style="613" customWidth="1"/>
    <col min="1311" max="1311" width="2.28515625" style="613" customWidth="1"/>
    <col min="1312" max="1312" width="2.7109375" style="613" customWidth="1"/>
    <col min="1313" max="1313" width="1.28515625" style="613" customWidth="1"/>
    <col min="1314" max="1314" width="1.140625" style="613" customWidth="1"/>
    <col min="1315" max="1315" width="2.7109375" style="613" customWidth="1"/>
    <col min="1316" max="1317" width="1.28515625" style="613" customWidth="1"/>
    <col min="1318" max="1318" width="3.42578125" style="613" customWidth="1"/>
    <col min="1319" max="1319" width="2.7109375" style="613" customWidth="1"/>
    <col min="1320" max="1320" width="6.7109375" style="613" customWidth="1"/>
    <col min="1321" max="1321" width="4.28515625" style="613" customWidth="1"/>
    <col min="1322" max="1322" width="3.7109375" style="613" customWidth="1"/>
    <col min="1323" max="1323" width="5.42578125" style="613" customWidth="1"/>
    <col min="1324" max="1324" width="2.7109375" style="613" customWidth="1"/>
    <col min="1325" max="1325" width="4.42578125" style="613" customWidth="1"/>
    <col min="1326" max="1341" width="2.7109375" style="613" customWidth="1"/>
    <col min="1342" max="1543" width="11.42578125" style="613"/>
    <col min="1544" max="1544" width="3.5703125" style="613" customWidth="1"/>
    <col min="1545" max="1545" width="2.7109375" style="613" customWidth="1"/>
    <col min="1546" max="1546" width="1" style="613" customWidth="1"/>
    <col min="1547" max="1547" width="4.28515625" style="613" customWidth="1"/>
    <col min="1548" max="1554" width="2.7109375" style="613" customWidth="1"/>
    <col min="1555" max="1555" width="1.5703125" style="613" customWidth="1"/>
    <col min="1556" max="1558" width="2.7109375" style="613" customWidth="1"/>
    <col min="1559" max="1559" width="1.42578125" style="613" customWidth="1"/>
    <col min="1560" max="1560" width="1.85546875" style="613" customWidth="1"/>
    <col min="1561" max="1561" width="2.85546875" style="613" customWidth="1"/>
    <col min="1562" max="1563" width="2.7109375" style="613" customWidth="1"/>
    <col min="1564" max="1564" width="2.85546875" style="613" customWidth="1"/>
    <col min="1565" max="1566" width="3.140625" style="613" customWidth="1"/>
    <col min="1567" max="1567" width="2.28515625" style="613" customWidth="1"/>
    <col min="1568" max="1568" width="2.7109375" style="613" customWidth="1"/>
    <col min="1569" max="1569" width="1.28515625" style="613" customWidth="1"/>
    <col min="1570" max="1570" width="1.140625" style="613" customWidth="1"/>
    <col min="1571" max="1571" width="2.7109375" style="613" customWidth="1"/>
    <col min="1572" max="1573" width="1.28515625" style="613" customWidth="1"/>
    <col min="1574" max="1574" width="3.42578125" style="613" customWidth="1"/>
    <col min="1575" max="1575" width="2.7109375" style="613" customWidth="1"/>
    <col min="1576" max="1576" width="6.7109375" style="613" customWidth="1"/>
    <col min="1577" max="1577" width="4.28515625" style="613" customWidth="1"/>
    <col min="1578" max="1578" width="3.7109375" style="613" customWidth="1"/>
    <col min="1579" max="1579" width="5.42578125" style="613" customWidth="1"/>
    <col min="1580" max="1580" width="2.7109375" style="613" customWidth="1"/>
    <col min="1581" max="1581" width="4.42578125" style="613" customWidth="1"/>
    <col min="1582" max="1597" width="2.7109375" style="613" customWidth="1"/>
    <col min="1598" max="1799" width="11.42578125" style="613"/>
    <col min="1800" max="1800" width="3.5703125" style="613" customWidth="1"/>
    <col min="1801" max="1801" width="2.7109375" style="613" customWidth="1"/>
    <col min="1802" max="1802" width="1" style="613" customWidth="1"/>
    <col min="1803" max="1803" width="4.28515625" style="613" customWidth="1"/>
    <col min="1804" max="1810" width="2.7109375" style="613" customWidth="1"/>
    <col min="1811" max="1811" width="1.5703125" style="613" customWidth="1"/>
    <col min="1812" max="1814" width="2.7109375" style="613" customWidth="1"/>
    <col min="1815" max="1815" width="1.42578125" style="613" customWidth="1"/>
    <col min="1816" max="1816" width="1.85546875" style="613" customWidth="1"/>
    <col min="1817" max="1817" width="2.85546875" style="613" customWidth="1"/>
    <col min="1818" max="1819" width="2.7109375" style="613" customWidth="1"/>
    <col min="1820" max="1820" width="2.85546875" style="613" customWidth="1"/>
    <col min="1821" max="1822" width="3.140625" style="613" customWidth="1"/>
    <col min="1823" max="1823" width="2.28515625" style="613" customWidth="1"/>
    <col min="1824" max="1824" width="2.7109375" style="613" customWidth="1"/>
    <col min="1825" max="1825" width="1.28515625" style="613" customWidth="1"/>
    <col min="1826" max="1826" width="1.140625" style="613" customWidth="1"/>
    <col min="1827" max="1827" width="2.7109375" style="613" customWidth="1"/>
    <col min="1828" max="1829" width="1.28515625" style="613" customWidth="1"/>
    <col min="1830" max="1830" width="3.42578125" style="613" customWidth="1"/>
    <col min="1831" max="1831" width="2.7109375" style="613" customWidth="1"/>
    <col min="1832" max="1832" width="6.7109375" style="613" customWidth="1"/>
    <col min="1833" max="1833" width="4.28515625" style="613" customWidth="1"/>
    <col min="1834" max="1834" width="3.7109375" style="613" customWidth="1"/>
    <col min="1835" max="1835" width="5.42578125" style="613" customWidth="1"/>
    <col min="1836" max="1836" width="2.7109375" style="613" customWidth="1"/>
    <col min="1837" max="1837" width="4.42578125" style="613" customWidth="1"/>
    <col min="1838" max="1853" width="2.7109375" style="613" customWidth="1"/>
    <col min="1854" max="2055" width="11.42578125" style="613"/>
    <col min="2056" max="2056" width="3.5703125" style="613" customWidth="1"/>
    <col min="2057" max="2057" width="2.7109375" style="613" customWidth="1"/>
    <col min="2058" max="2058" width="1" style="613" customWidth="1"/>
    <col min="2059" max="2059" width="4.28515625" style="613" customWidth="1"/>
    <col min="2060" max="2066" width="2.7109375" style="613" customWidth="1"/>
    <col min="2067" max="2067" width="1.5703125" style="613" customWidth="1"/>
    <col min="2068" max="2070" width="2.7109375" style="613" customWidth="1"/>
    <col min="2071" max="2071" width="1.42578125" style="613" customWidth="1"/>
    <col min="2072" max="2072" width="1.85546875" style="613" customWidth="1"/>
    <col min="2073" max="2073" width="2.85546875" style="613" customWidth="1"/>
    <col min="2074" max="2075" width="2.7109375" style="613" customWidth="1"/>
    <col min="2076" max="2076" width="2.85546875" style="613" customWidth="1"/>
    <col min="2077" max="2078" width="3.140625" style="613" customWidth="1"/>
    <col min="2079" max="2079" width="2.28515625" style="613" customWidth="1"/>
    <col min="2080" max="2080" width="2.7109375" style="613" customWidth="1"/>
    <col min="2081" max="2081" width="1.28515625" style="613" customWidth="1"/>
    <col min="2082" max="2082" width="1.140625" style="613" customWidth="1"/>
    <col min="2083" max="2083" width="2.7109375" style="613" customWidth="1"/>
    <col min="2084" max="2085" width="1.28515625" style="613" customWidth="1"/>
    <col min="2086" max="2086" width="3.42578125" style="613" customWidth="1"/>
    <col min="2087" max="2087" width="2.7109375" style="613" customWidth="1"/>
    <col min="2088" max="2088" width="6.7109375" style="613" customWidth="1"/>
    <col min="2089" max="2089" width="4.28515625" style="613" customWidth="1"/>
    <col min="2090" max="2090" width="3.7109375" style="613" customWidth="1"/>
    <col min="2091" max="2091" width="5.42578125" style="613" customWidth="1"/>
    <col min="2092" max="2092" width="2.7109375" style="613" customWidth="1"/>
    <col min="2093" max="2093" width="4.42578125" style="613" customWidth="1"/>
    <col min="2094" max="2109" width="2.7109375" style="613" customWidth="1"/>
    <col min="2110" max="2311" width="11.42578125" style="613"/>
    <col min="2312" max="2312" width="3.5703125" style="613" customWidth="1"/>
    <col min="2313" max="2313" width="2.7109375" style="613" customWidth="1"/>
    <col min="2314" max="2314" width="1" style="613" customWidth="1"/>
    <col min="2315" max="2315" width="4.28515625" style="613" customWidth="1"/>
    <col min="2316" max="2322" width="2.7109375" style="613" customWidth="1"/>
    <col min="2323" max="2323" width="1.5703125" style="613" customWidth="1"/>
    <col min="2324" max="2326" width="2.7109375" style="613" customWidth="1"/>
    <col min="2327" max="2327" width="1.42578125" style="613" customWidth="1"/>
    <col min="2328" max="2328" width="1.85546875" style="613" customWidth="1"/>
    <col min="2329" max="2329" width="2.85546875" style="613" customWidth="1"/>
    <col min="2330" max="2331" width="2.7109375" style="613" customWidth="1"/>
    <col min="2332" max="2332" width="2.85546875" style="613" customWidth="1"/>
    <col min="2333" max="2334" width="3.140625" style="613" customWidth="1"/>
    <col min="2335" max="2335" width="2.28515625" style="613" customWidth="1"/>
    <col min="2336" max="2336" width="2.7109375" style="613" customWidth="1"/>
    <col min="2337" max="2337" width="1.28515625" style="613" customWidth="1"/>
    <col min="2338" max="2338" width="1.140625" style="613" customWidth="1"/>
    <col min="2339" max="2339" width="2.7109375" style="613" customWidth="1"/>
    <col min="2340" max="2341" width="1.28515625" style="613" customWidth="1"/>
    <col min="2342" max="2342" width="3.42578125" style="613" customWidth="1"/>
    <col min="2343" max="2343" width="2.7109375" style="613" customWidth="1"/>
    <col min="2344" max="2344" width="6.7109375" style="613" customWidth="1"/>
    <col min="2345" max="2345" width="4.28515625" style="613" customWidth="1"/>
    <col min="2346" max="2346" width="3.7109375" style="613" customWidth="1"/>
    <col min="2347" max="2347" width="5.42578125" style="613" customWidth="1"/>
    <col min="2348" max="2348" width="2.7109375" style="613" customWidth="1"/>
    <col min="2349" max="2349" width="4.42578125" style="613" customWidth="1"/>
    <col min="2350" max="2365" width="2.7109375" style="613" customWidth="1"/>
    <col min="2366" max="2567" width="11.42578125" style="613"/>
    <col min="2568" max="2568" width="3.5703125" style="613" customWidth="1"/>
    <col min="2569" max="2569" width="2.7109375" style="613" customWidth="1"/>
    <col min="2570" max="2570" width="1" style="613" customWidth="1"/>
    <col min="2571" max="2571" width="4.28515625" style="613" customWidth="1"/>
    <col min="2572" max="2578" width="2.7109375" style="613" customWidth="1"/>
    <col min="2579" max="2579" width="1.5703125" style="613" customWidth="1"/>
    <col min="2580" max="2582" width="2.7109375" style="613" customWidth="1"/>
    <col min="2583" max="2583" width="1.42578125" style="613" customWidth="1"/>
    <col min="2584" max="2584" width="1.85546875" style="613" customWidth="1"/>
    <col min="2585" max="2585" width="2.85546875" style="613" customWidth="1"/>
    <col min="2586" max="2587" width="2.7109375" style="613" customWidth="1"/>
    <col min="2588" max="2588" width="2.85546875" style="613" customWidth="1"/>
    <col min="2589" max="2590" width="3.140625" style="613" customWidth="1"/>
    <col min="2591" max="2591" width="2.28515625" style="613" customWidth="1"/>
    <col min="2592" max="2592" width="2.7109375" style="613" customWidth="1"/>
    <col min="2593" max="2593" width="1.28515625" style="613" customWidth="1"/>
    <col min="2594" max="2594" width="1.140625" style="613" customWidth="1"/>
    <col min="2595" max="2595" width="2.7109375" style="613" customWidth="1"/>
    <col min="2596" max="2597" width="1.28515625" style="613" customWidth="1"/>
    <col min="2598" max="2598" width="3.42578125" style="613" customWidth="1"/>
    <col min="2599" max="2599" width="2.7109375" style="613" customWidth="1"/>
    <col min="2600" max="2600" width="6.7109375" style="613" customWidth="1"/>
    <col min="2601" max="2601" width="4.28515625" style="613" customWidth="1"/>
    <col min="2602" max="2602" width="3.7109375" style="613" customWidth="1"/>
    <col min="2603" max="2603" width="5.42578125" style="613" customWidth="1"/>
    <col min="2604" max="2604" width="2.7109375" style="613" customWidth="1"/>
    <col min="2605" max="2605" width="4.42578125" style="613" customWidth="1"/>
    <col min="2606" max="2621" width="2.7109375" style="613" customWidth="1"/>
    <col min="2622" max="2823" width="11.42578125" style="613"/>
    <col min="2824" max="2824" width="3.5703125" style="613" customWidth="1"/>
    <col min="2825" max="2825" width="2.7109375" style="613" customWidth="1"/>
    <col min="2826" max="2826" width="1" style="613" customWidth="1"/>
    <col min="2827" max="2827" width="4.28515625" style="613" customWidth="1"/>
    <col min="2828" max="2834" width="2.7109375" style="613" customWidth="1"/>
    <col min="2835" max="2835" width="1.5703125" style="613" customWidth="1"/>
    <col min="2836" max="2838" width="2.7109375" style="613" customWidth="1"/>
    <col min="2839" max="2839" width="1.42578125" style="613" customWidth="1"/>
    <col min="2840" max="2840" width="1.85546875" style="613" customWidth="1"/>
    <col min="2841" max="2841" width="2.85546875" style="613" customWidth="1"/>
    <col min="2842" max="2843" width="2.7109375" style="613" customWidth="1"/>
    <col min="2844" max="2844" width="2.85546875" style="613" customWidth="1"/>
    <col min="2845" max="2846" width="3.140625" style="613" customWidth="1"/>
    <col min="2847" max="2847" width="2.28515625" style="613" customWidth="1"/>
    <col min="2848" max="2848" width="2.7109375" style="613" customWidth="1"/>
    <col min="2849" max="2849" width="1.28515625" style="613" customWidth="1"/>
    <col min="2850" max="2850" width="1.140625" style="613" customWidth="1"/>
    <col min="2851" max="2851" width="2.7109375" style="613" customWidth="1"/>
    <col min="2852" max="2853" width="1.28515625" style="613" customWidth="1"/>
    <col min="2854" max="2854" width="3.42578125" style="613" customWidth="1"/>
    <col min="2855" max="2855" width="2.7109375" style="613" customWidth="1"/>
    <col min="2856" max="2856" width="6.7109375" style="613" customWidth="1"/>
    <col min="2857" max="2857" width="4.28515625" style="613" customWidth="1"/>
    <col min="2858" max="2858" width="3.7109375" style="613" customWidth="1"/>
    <col min="2859" max="2859" width="5.42578125" style="613" customWidth="1"/>
    <col min="2860" max="2860" width="2.7109375" style="613" customWidth="1"/>
    <col min="2861" max="2861" width="4.42578125" style="613" customWidth="1"/>
    <col min="2862" max="2877" width="2.7109375" style="613" customWidth="1"/>
    <col min="2878" max="3079" width="11.42578125" style="613"/>
    <col min="3080" max="3080" width="3.5703125" style="613" customWidth="1"/>
    <col min="3081" max="3081" width="2.7109375" style="613" customWidth="1"/>
    <col min="3082" max="3082" width="1" style="613" customWidth="1"/>
    <col min="3083" max="3083" width="4.28515625" style="613" customWidth="1"/>
    <col min="3084" max="3090" width="2.7109375" style="613" customWidth="1"/>
    <col min="3091" max="3091" width="1.5703125" style="613" customWidth="1"/>
    <col min="3092" max="3094" width="2.7109375" style="613" customWidth="1"/>
    <col min="3095" max="3095" width="1.42578125" style="613" customWidth="1"/>
    <col min="3096" max="3096" width="1.85546875" style="613" customWidth="1"/>
    <col min="3097" max="3097" width="2.85546875" style="613" customWidth="1"/>
    <col min="3098" max="3099" width="2.7109375" style="613" customWidth="1"/>
    <col min="3100" max="3100" width="2.85546875" style="613" customWidth="1"/>
    <col min="3101" max="3102" width="3.140625" style="613" customWidth="1"/>
    <col min="3103" max="3103" width="2.28515625" style="613" customWidth="1"/>
    <col min="3104" max="3104" width="2.7109375" style="613" customWidth="1"/>
    <col min="3105" max="3105" width="1.28515625" style="613" customWidth="1"/>
    <col min="3106" max="3106" width="1.140625" style="613" customWidth="1"/>
    <col min="3107" max="3107" width="2.7109375" style="613" customWidth="1"/>
    <col min="3108" max="3109" width="1.28515625" style="613" customWidth="1"/>
    <col min="3110" max="3110" width="3.42578125" style="613" customWidth="1"/>
    <col min="3111" max="3111" width="2.7109375" style="613" customWidth="1"/>
    <col min="3112" max="3112" width="6.7109375" style="613" customWidth="1"/>
    <col min="3113" max="3113" width="4.28515625" style="613" customWidth="1"/>
    <col min="3114" max="3114" width="3.7109375" style="613" customWidth="1"/>
    <col min="3115" max="3115" width="5.42578125" style="613" customWidth="1"/>
    <col min="3116" max="3116" width="2.7109375" style="613" customWidth="1"/>
    <col min="3117" max="3117" width="4.42578125" style="613" customWidth="1"/>
    <col min="3118" max="3133" width="2.7109375" style="613" customWidth="1"/>
    <col min="3134" max="3335" width="11.42578125" style="613"/>
    <col min="3336" max="3336" width="3.5703125" style="613" customWidth="1"/>
    <col min="3337" max="3337" width="2.7109375" style="613" customWidth="1"/>
    <col min="3338" max="3338" width="1" style="613" customWidth="1"/>
    <col min="3339" max="3339" width="4.28515625" style="613" customWidth="1"/>
    <col min="3340" max="3346" width="2.7109375" style="613" customWidth="1"/>
    <col min="3347" max="3347" width="1.5703125" style="613" customWidth="1"/>
    <col min="3348" max="3350" width="2.7109375" style="613" customWidth="1"/>
    <col min="3351" max="3351" width="1.42578125" style="613" customWidth="1"/>
    <col min="3352" max="3352" width="1.85546875" style="613" customWidth="1"/>
    <col min="3353" max="3353" width="2.85546875" style="613" customWidth="1"/>
    <col min="3354" max="3355" width="2.7109375" style="613" customWidth="1"/>
    <col min="3356" max="3356" width="2.85546875" style="613" customWidth="1"/>
    <col min="3357" max="3358" width="3.140625" style="613" customWidth="1"/>
    <col min="3359" max="3359" width="2.28515625" style="613" customWidth="1"/>
    <col min="3360" max="3360" width="2.7109375" style="613" customWidth="1"/>
    <col min="3361" max="3361" width="1.28515625" style="613" customWidth="1"/>
    <col min="3362" max="3362" width="1.140625" style="613" customWidth="1"/>
    <col min="3363" max="3363" width="2.7109375" style="613" customWidth="1"/>
    <col min="3364" max="3365" width="1.28515625" style="613" customWidth="1"/>
    <col min="3366" max="3366" width="3.42578125" style="613" customWidth="1"/>
    <col min="3367" max="3367" width="2.7109375" style="613" customWidth="1"/>
    <col min="3368" max="3368" width="6.7109375" style="613" customWidth="1"/>
    <col min="3369" max="3369" width="4.28515625" style="613" customWidth="1"/>
    <col min="3370" max="3370" width="3.7109375" style="613" customWidth="1"/>
    <col min="3371" max="3371" width="5.42578125" style="613" customWidth="1"/>
    <col min="3372" max="3372" width="2.7109375" style="613" customWidth="1"/>
    <col min="3373" max="3373" width="4.42578125" style="613" customWidth="1"/>
    <col min="3374" max="3389" width="2.7109375" style="613" customWidth="1"/>
    <col min="3390" max="3591" width="11.42578125" style="613"/>
    <col min="3592" max="3592" width="3.5703125" style="613" customWidth="1"/>
    <col min="3593" max="3593" width="2.7109375" style="613" customWidth="1"/>
    <col min="3594" max="3594" width="1" style="613" customWidth="1"/>
    <col min="3595" max="3595" width="4.28515625" style="613" customWidth="1"/>
    <col min="3596" max="3602" width="2.7109375" style="613" customWidth="1"/>
    <col min="3603" max="3603" width="1.5703125" style="613" customWidth="1"/>
    <col min="3604" max="3606" width="2.7109375" style="613" customWidth="1"/>
    <col min="3607" max="3607" width="1.42578125" style="613" customWidth="1"/>
    <col min="3608" max="3608" width="1.85546875" style="613" customWidth="1"/>
    <col min="3609" max="3609" width="2.85546875" style="613" customWidth="1"/>
    <col min="3610" max="3611" width="2.7109375" style="613" customWidth="1"/>
    <col min="3612" max="3612" width="2.85546875" style="613" customWidth="1"/>
    <col min="3613" max="3614" width="3.140625" style="613" customWidth="1"/>
    <col min="3615" max="3615" width="2.28515625" style="613" customWidth="1"/>
    <col min="3616" max="3616" width="2.7109375" style="613" customWidth="1"/>
    <col min="3617" max="3617" width="1.28515625" style="613" customWidth="1"/>
    <col min="3618" max="3618" width="1.140625" style="613" customWidth="1"/>
    <col min="3619" max="3619" width="2.7109375" style="613" customWidth="1"/>
    <col min="3620" max="3621" width="1.28515625" style="613" customWidth="1"/>
    <col min="3622" max="3622" width="3.42578125" style="613" customWidth="1"/>
    <col min="3623" max="3623" width="2.7109375" style="613" customWidth="1"/>
    <col min="3624" max="3624" width="6.7109375" style="613" customWidth="1"/>
    <col min="3625" max="3625" width="4.28515625" style="613" customWidth="1"/>
    <col min="3626" max="3626" width="3.7109375" style="613" customWidth="1"/>
    <col min="3627" max="3627" width="5.42578125" style="613" customWidth="1"/>
    <col min="3628" max="3628" width="2.7109375" style="613" customWidth="1"/>
    <col min="3629" max="3629" width="4.42578125" style="613" customWidth="1"/>
    <col min="3630" max="3645" width="2.7109375" style="613" customWidth="1"/>
    <col min="3646" max="3847" width="11.42578125" style="613"/>
    <col min="3848" max="3848" width="3.5703125" style="613" customWidth="1"/>
    <col min="3849" max="3849" width="2.7109375" style="613" customWidth="1"/>
    <col min="3850" max="3850" width="1" style="613" customWidth="1"/>
    <col min="3851" max="3851" width="4.28515625" style="613" customWidth="1"/>
    <col min="3852" max="3858" width="2.7109375" style="613" customWidth="1"/>
    <col min="3859" max="3859" width="1.5703125" style="613" customWidth="1"/>
    <col min="3860" max="3862" width="2.7109375" style="613" customWidth="1"/>
    <col min="3863" max="3863" width="1.42578125" style="613" customWidth="1"/>
    <col min="3864" max="3864" width="1.85546875" style="613" customWidth="1"/>
    <col min="3865" max="3865" width="2.85546875" style="613" customWidth="1"/>
    <col min="3866" max="3867" width="2.7109375" style="613" customWidth="1"/>
    <col min="3868" max="3868" width="2.85546875" style="613" customWidth="1"/>
    <col min="3869" max="3870" width="3.140625" style="613" customWidth="1"/>
    <col min="3871" max="3871" width="2.28515625" style="613" customWidth="1"/>
    <col min="3872" max="3872" width="2.7109375" style="613" customWidth="1"/>
    <col min="3873" max="3873" width="1.28515625" style="613" customWidth="1"/>
    <col min="3874" max="3874" width="1.140625" style="613" customWidth="1"/>
    <col min="3875" max="3875" width="2.7109375" style="613" customWidth="1"/>
    <col min="3876" max="3877" width="1.28515625" style="613" customWidth="1"/>
    <col min="3878" max="3878" width="3.42578125" style="613" customWidth="1"/>
    <col min="3879" max="3879" width="2.7109375" style="613" customWidth="1"/>
    <col min="3880" max="3880" width="6.7109375" style="613" customWidth="1"/>
    <col min="3881" max="3881" width="4.28515625" style="613" customWidth="1"/>
    <col min="3882" max="3882" width="3.7109375" style="613" customWidth="1"/>
    <col min="3883" max="3883" width="5.42578125" style="613" customWidth="1"/>
    <col min="3884" max="3884" width="2.7109375" style="613" customWidth="1"/>
    <col min="3885" max="3885" width="4.42578125" style="613" customWidth="1"/>
    <col min="3886" max="3901" width="2.7109375" style="613" customWidth="1"/>
    <col min="3902" max="4103" width="11.42578125" style="613"/>
    <col min="4104" max="4104" width="3.5703125" style="613" customWidth="1"/>
    <col min="4105" max="4105" width="2.7109375" style="613" customWidth="1"/>
    <col min="4106" max="4106" width="1" style="613" customWidth="1"/>
    <col min="4107" max="4107" width="4.28515625" style="613" customWidth="1"/>
    <col min="4108" max="4114" width="2.7109375" style="613" customWidth="1"/>
    <col min="4115" max="4115" width="1.5703125" style="613" customWidth="1"/>
    <col min="4116" max="4118" width="2.7109375" style="613" customWidth="1"/>
    <col min="4119" max="4119" width="1.42578125" style="613" customWidth="1"/>
    <col min="4120" max="4120" width="1.85546875" style="613" customWidth="1"/>
    <col min="4121" max="4121" width="2.85546875" style="613" customWidth="1"/>
    <col min="4122" max="4123" width="2.7109375" style="613" customWidth="1"/>
    <col min="4124" max="4124" width="2.85546875" style="613" customWidth="1"/>
    <col min="4125" max="4126" width="3.140625" style="613" customWidth="1"/>
    <col min="4127" max="4127" width="2.28515625" style="613" customWidth="1"/>
    <col min="4128" max="4128" width="2.7109375" style="613" customWidth="1"/>
    <col min="4129" max="4129" width="1.28515625" style="613" customWidth="1"/>
    <col min="4130" max="4130" width="1.140625" style="613" customWidth="1"/>
    <col min="4131" max="4131" width="2.7109375" style="613" customWidth="1"/>
    <col min="4132" max="4133" width="1.28515625" style="613" customWidth="1"/>
    <col min="4134" max="4134" width="3.42578125" style="613" customWidth="1"/>
    <col min="4135" max="4135" width="2.7109375" style="613" customWidth="1"/>
    <col min="4136" max="4136" width="6.7109375" style="613" customWidth="1"/>
    <col min="4137" max="4137" width="4.28515625" style="613" customWidth="1"/>
    <col min="4138" max="4138" width="3.7109375" style="613" customWidth="1"/>
    <col min="4139" max="4139" width="5.42578125" style="613" customWidth="1"/>
    <col min="4140" max="4140" width="2.7109375" style="613" customWidth="1"/>
    <col min="4141" max="4141" width="4.42578125" style="613" customWidth="1"/>
    <col min="4142" max="4157" width="2.7109375" style="613" customWidth="1"/>
    <col min="4158" max="4359" width="11.42578125" style="613"/>
    <col min="4360" max="4360" width="3.5703125" style="613" customWidth="1"/>
    <col min="4361" max="4361" width="2.7109375" style="613" customWidth="1"/>
    <col min="4362" max="4362" width="1" style="613" customWidth="1"/>
    <col min="4363" max="4363" width="4.28515625" style="613" customWidth="1"/>
    <col min="4364" max="4370" width="2.7109375" style="613" customWidth="1"/>
    <col min="4371" max="4371" width="1.5703125" style="613" customWidth="1"/>
    <col min="4372" max="4374" width="2.7109375" style="613" customWidth="1"/>
    <col min="4375" max="4375" width="1.42578125" style="613" customWidth="1"/>
    <col min="4376" max="4376" width="1.85546875" style="613" customWidth="1"/>
    <col min="4377" max="4377" width="2.85546875" style="613" customWidth="1"/>
    <col min="4378" max="4379" width="2.7109375" style="613" customWidth="1"/>
    <col min="4380" max="4380" width="2.85546875" style="613" customWidth="1"/>
    <col min="4381" max="4382" width="3.140625" style="613" customWidth="1"/>
    <col min="4383" max="4383" width="2.28515625" style="613" customWidth="1"/>
    <col min="4384" max="4384" width="2.7109375" style="613" customWidth="1"/>
    <col min="4385" max="4385" width="1.28515625" style="613" customWidth="1"/>
    <col min="4386" max="4386" width="1.140625" style="613" customWidth="1"/>
    <col min="4387" max="4387" width="2.7109375" style="613" customWidth="1"/>
    <col min="4388" max="4389" width="1.28515625" style="613" customWidth="1"/>
    <col min="4390" max="4390" width="3.42578125" style="613" customWidth="1"/>
    <col min="4391" max="4391" width="2.7109375" style="613" customWidth="1"/>
    <col min="4392" max="4392" width="6.7109375" style="613" customWidth="1"/>
    <col min="4393" max="4393" width="4.28515625" style="613" customWidth="1"/>
    <col min="4394" max="4394" width="3.7109375" style="613" customWidth="1"/>
    <col min="4395" max="4395" width="5.42578125" style="613" customWidth="1"/>
    <col min="4396" max="4396" width="2.7109375" style="613" customWidth="1"/>
    <col min="4397" max="4397" width="4.42578125" style="613" customWidth="1"/>
    <col min="4398" max="4413" width="2.7109375" style="613" customWidth="1"/>
    <col min="4414" max="4615" width="11.42578125" style="613"/>
    <col min="4616" max="4616" width="3.5703125" style="613" customWidth="1"/>
    <col min="4617" max="4617" width="2.7109375" style="613" customWidth="1"/>
    <col min="4618" max="4618" width="1" style="613" customWidth="1"/>
    <col min="4619" max="4619" width="4.28515625" style="613" customWidth="1"/>
    <col min="4620" max="4626" width="2.7109375" style="613" customWidth="1"/>
    <col min="4627" max="4627" width="1.5703125" style="613" customWidth="1"/>
    <col min="4628" max="4630" width="2.7109375" style="613" customWidth="1"/>
    <col min="4631" max="4631" width="1.42578125" style="613" customWidth="1"/>
    <col min="4632" max="4632" width="1.85546875" style="613" customWidth="1"/>
    <col min="4633" max="4633" width="2.85546875" style="613" customWidth="1"/>
    <col min="4634" max="4635" width="2.7109375" style="613" customWidth="1"/>
    <col min="4636" max="4636" width="2.85546875" style="613" customWidth="1"/>
    <col min="4637" max="4638" width="3.140625" style="613" customWidth="1"/>
    <col min="4639" max="4639" width="2.28515625" style="613" customWidth="1"/>
    <col min="4640" max="4640" width="2.7109375" style="613" customWidth="1"/>
    <col min="4641" max="4641" width="1.28515625" style="613" customWidth="1"/>
    <col min="4642" max="4642" width="1.140625" style="613" customWidth="1"/>
    <col min="4643" max="4643" width="2.7109375" style="613" customWidth="1"/>
    <col min="4644" max="4645" width="1.28515625" style="613" customWidth="1"/>
    <col min="4646" max="4646" width="3.42578125" style="613" customWidth="1"/>
    <col min="4647" max="4647" width="2.7109375" style="613" customWidth="1"/>
    <col min="4648" max="4648" width="6.7109375" style="613" customWidth="1"/>
    <col min="4649" max="4649" width="4.28515625" style="613" customWidth="1"/>
    <col min="4650" max="4650" width="3.7109375" style="613" customWidth="1"/>
    <col min="4651" max="4651" width="5.42578125" style="613" customWidth="1"/>
    <col min="4652" max="4652" width="2.7109375" style="613" customWidth="1"/>
    <col min="4653" max="4653" width="4.42578125" style="613" customWidth="1"/>
    <col min="4654" max="4669" width="2.7109375" style="613" customWidth="1"/>
    <col min="4670" max="4871" width="11.42578125" style="613"/>
    <col min="4872" max="4872" width="3.5703125" style="613" customWidth="1"/>
    <col min="4873" max="4873" width="2.7109375" style="613" customWidth="1"/>
    <col min="4874" max="4874" width="1" style="613" customWidth="1"/>
    <col min="4875" max="4875" width="4.28515625" style="613" customWidth="1"/>
    <col min="4876" max="4882" width="2.7109375" style="613" customWidth="1"/>
    <col min="4883" max="4883" width="1.5703125" style="613" customWidth="1"/>
    <col min="4884" max="4886" width="2.7109375" style="613" customWidth="1"/>
    <col min="4887" max="4887" width="1.42578125" style="613" customWidth="1"/>
    <col min="4888" max="4888" width="1.85546875" style="613" customWidth="1"/>
    <col min="4889" max="4889" width="2.85546875" style="613" customWidth="1"/>
    <col min="4890" max="4891" width="2.7109375" style="613" customWidth="1"/>
    <col min="4892" max="4892" width="2.85546875" style="613" customWidth="1"/>
    <col min="4893" max="4894" width="3.140625" style="613" customWidth="1"/>
    <col min="4895" max="4895" width="2.28515625" style="613" customWidth="1"/>
    <col min="4896" max="4896" width="2.7109375" style="613" customWidth="1"/>
    <col min="4897" max="4897" width="1.28515625" style="613" customWidth="1"/>
    <col min="4898" max="4898" width="1.140625" style="613" customWidth="1"/>
    <col min="4899" max="4899" width="2.7109375" style="613" customWidth="1"/>
    <col min="4900" max="4901" width="1.28515625" style="613" customWidth="1"/>
    <col min="4902" max="4902" width="3.42578125" style="613" customWidth="1"/>
    <col min="4903" max="4903" width="2.7109375" style="613" customWidth="1"/>
    <col min="4904" max="4904" width="6.7109375" style="613" customWidth="1"/>
    <col min="4905" max="4905" width="4.28515625" style="613" customWidth="1"/>
    <col min="4906" max="4906" width="3.7109375" style="613" customWidth="1"/>
    <col min="4907" max="4907" width="5.42578125" style="613" customWidth="1"/>
    <col min="4908" max="4908" width="2.7109375" style="613" customWidth="1"/>
    <col min="4909" max="4909" width="4.42578125" style="613" customWidth="1"/>
    <col min="4910" max="4925" width="2.7109375" style="613" customWidth="1"/>
    <col min="4926" max="5127" width="11.42578125" style="613"/>
    <col min="5128" max="5128" width="3.5703125" style="613" customWidth="1"/>
    <col min="5129" max="5129" width="2.7109375" style="613" customWidth="1"/>
    <col min="5130" max="5130" width="1" style="613" customWidth="1"/>
    <col min="5131" max="5131" width="4.28515625" style="613" customWidth="1"/>
    <col min="5132" max="5138" width="2.7109375" style="613" customWidth="1"/>
    <col min="5139" max="5139" width="1.5703125" style="613" customWidth="1"/>
    <col min="5140" max="5142" width="2.7109375" style="613" customWidth="1"/>
    <col min="5143" max="5143" width="1.42578125" style="613" customWidth="1"/>
    <col min="5144" max="5144" width="1.85546875" style="613" customWidth="1"/>
    <col min="5145" max="5145" width="2.85546875" style="613" customWidth="1"/>
    <col min="5146" max="5147" width="2.7109375" style="613" customWidth="1"/>
    <col min="5148" max="5148" width="2.85546875" style="613" customWidth="1"/>
    <col min="5149" max="5150" width="3.140625" style="613" customWidth="1"/>
    <col min="5151" max="5151" width="2.28515625" style="613" customWidth="1"/>
    <col min="5152" max="5152" width="2.7109375" style="613" customWidth="1"/>
    <col min="5153" max="5153" width="1.28515625" style="613" customWidth="1"/>
    <col min="5154" max="5154" width="1.140625" style="613" customWidth="1"/>
    <col min="5155" max="5155" width="2.7109375" style="613" customWidth="1"/>
    <col min="5156" max="5157" width="1.28515625" style="613" customWidth="1"/>
    <col min="5158" max="5158" width="3.42578125" style="613" customWidth="1"/>
    <col min="5159" max="5159" width="2.7109375" style="613" customWidth="1"/>
    <col min="5160" max="5160" width="6.7109375" style="613" customWidth="1"/>
    <col min="5161" max="5161" width="4.28515625" style="613" customWidth="1"/>
    <col min="5162" max="5162" width="3.7109375" style="613" customWidth="1"/>
    <col min="5163" max="5163" width="5.42578125" style="613" customWidth="1"/>
    <col min="5164" max="5164" width="2.7109375" style="613" customWidth="1"/>
    <col min="5165" max="5165" width="4.42578125" style="613" customWidth="1"/>
    <col min="5166" max="5181" width="2.7109375" style="613" customWidth="1"/>
    <col min="5182" max="5383" width="11.42578125" style="613"/>
    <col min="5384" max="5384" width="3.5703125" style="613" customWidth="1"/>
    <col min="5385" max="5385" width="2.7109375" style="613" customWidth="1"/>
    <col min="5386" max="5386" width="1" style="613" customWidth="1"/>
    <col min="5387" max="5387" width="4.28515625" style="613" customWidth="1"/>
    <col min="5388" max="5394" width="2.7109375" style="613" customWidth="1"/>
    <col min="5395" max="5395" width="1.5703125" style="613" customWidth="1"/>
    <col min="5396" max="5398" width="2.7109375" style="613" customWidth="1"/>
    <col min="5399" max="5399" width="1.42578125" style="613" customWidth="1"/>
    <col min="5400" max="5400" width="1.85546875" style="613" customWidth="1"/>
    <col min="5401" max="5401" width="2.85546875" style="613" customWidth="1"/>
    <col min="5402" max="5403" width="2.7109375" style="613" customWidth="1"/>
    <col min="5404" max="5404" width="2.85546875" style="613" customWidth="1"/>
    <col min="5405" max="5406" width="3.140625" style="613" customWidth="1"/>
    <col min="5407" max="5407" width="2.28515625" style="613" customWidth="1"/>
    <col min="5408" max="5408" width="2.7109375" style="613" customWidth="1"/>
    <col min="5409" max="5409" width="1.28515625" style="613" customWidth="1"/>
    <col min="5410" max="5410" width="1.140625" style="613" customWidth="1"/>
    <col min="5411" max="5411" width="2.7109375" style="613" customWidth="1"/>
    <col min="5412" max="5413" width="1.28515625" style="613" customWidth="1"/>
    <col min="5414" max="5414" width="3.42578125" style="613" customWidth="1"/>
    <col min="5415" max="5415" width="2.7109375" style="613" customWidth="1"/>
    <col min="5416" max="5416" width="6.7109375" style="613" customWidth="1"/>
    <col min="5417" max="5417" width="4.28515625" style="613" customWidth="1"/>
    <col min="5418" max="5418" width="3.7109375" style="613" customWidth="1"/>
    <col min="5419" max="5419" width="5.42578125" style="613" customWidth="1"/>
    <col min="5420" max="5420" width="2.7109375" style="613" customWidth="1"/>
    <col min="5421" max="5421" width="4.42578125" style="613" customWidth="1"/>
    <col min="5422" max="5437" width="2.7109375" style="613" customWidth="1"/>
    <col min="5438" max="5639" width="11.42578125" style="613"/>
    <col min="5640" max="5640" width="3.5703125" style="613" customWidth="1"/>
    <col min="5641" max="5641" width="2.7109375" style="613" customWidth="1"/>
    <col min="5642" max="5642" width="1" style="613" customWidth="1"/>
    <col min="5643" max="5643" width="4.28515625" style="613" customWidth="1"/>
    <col min="5644" max="5650" width="2.7109375" style="613" customWidth="1"/>
    <col min="5651" max="5651" width="1.5703125" style="613" customWidth="1"/>
    <col min="5652" max="5654" width="2.7109375" style="613" customWidth="1"/>
    <col min="5655" max="5655" width="1.42578125" style="613" customWidth="1"/>
    <col min="5656" max="5656" width="1.85546875" style="613" customWidth="1"/>
    <col min="5657" max="5657" width="2.85546875" style="613" customWidth="1"/>
    <col min="5658" max="5659" width="2.7109375" style="613" customWidth="1"/>
    <col min="5660" max="5660" width="2.85546875" style="613" customWidth="1"/>
    <col min="5661" max="5662" width="3.140625" style="613" customWidth="1"/>
    <col min="5663" max="5663" width="2.28515625" style="613" customWidth="1"/>
    <col min="5664" max="5664" width="2.7109375" style="613" customWidth="1"/>
    <col min="5665" max="5665" width="1.28515625" style="613" customWidth="1"/>
    <col min="5666" max="5666" width="1.140625" style="613" customWidth="1"/>
    <col min="5667" max="5667" width="2.7109375" style="613" customWidth="1"/>
    <col min="5668" max="5669" width="1.28515625" style="613" customWidth="1"/>
    <col min="5670" max="5670" width="3.42578125" style="613" customWidth="1"/>
    <col min="5671" max="5671" width="2.7109375" style="613" customWidth="1"/>
    <col min="5672" max="5672" width="6.7109375" style="613" customWidth="1"/>
    <col min="5673" max="5673" width="4.28515625" style="613" customWidth="1"/>
    <col min="5674" max="5674" width="3.7109375" style="613" customWidth="1"/>
    <col min="5675" max="5675" width="5.42578125" style="613" customWidth="1"/>
    <col min="5676" max="5676" width="2.7109375" style="613" customWidth="1"/>
    <col min="5677" max="5677" width="4.42578125" style="613" customWidth="1"/>
    <col min="5678" max="5693" width="2.7109375" style="613" customWidth="1"/>
    <col min="5694" max="5895" width="11.42578125" style="613"/>
    <col min="5896" max="5896" width="3.5703125" style="613" customWidth="1"/>
    <col min="5897" max="5897" width="2.7109375" style="613" customWidth="1"/>
    <col min="5898" max="5898" width="1" style="613" customWidth="1"/>
    <col min="5899" max="5899" width="4.28515625" style="613" customWidth="1"/>
    <col min="5900" max="5906" width="2.7109375" style="613" customWidth="1"/>
    <col min="5907" max="5907" width="1.5703125" style="613" customWidth="1"/>
    <col min="5908" max="5910" width="2.7109375" style="613" customWidth="1"/>
    <col min="5911" max="5911" width="1.42578125" style="613" customWidth="1"/>
    <col min="5912" max="5912" width="1.85546875" style="613" customWidth="1"/>
    <col min="5913" max="5913" width="2.85546875" style="613" customWidth="1"/>
    <col min="5914" max="5915" width="2.7109375" style="613" customWidth="1"/>
    <col min="5916" max="5916" width="2.85546875" style="613" customWidth="1"/>
    <col min="5917" max="5918" width="3.140625" style="613" customWidth="1"/>
    <col min="5919" max="5919" width="2.28515625" style="613" customWidth="1"/>
    <col min="5920" max="5920" width="2.7109375" style="613" customWidth="1"/>
    <col min="5921" max="5921" width="1.28515625" style="613" customWidth="1"/>
    <col min="5922" max="5922" width="1.140625" style="613" customWidth="1"/>
    <col min="5923" max="5923" width="2.7109375" style="613" customWidth="1"/>
    <col min="5924" max="5925" width="1.28515625" style="613" customWidth="1"/>
    <col min="5926" max="5926" width="3.42578125" style="613" customWidth="1"/>
    <col min="5927" max="5927" width="2.7109375" style="613" customWidth="1"/>
    <col min="5928" max="5928" width="6.7109375" style="613" customWidth="1"/>
    <col min="5929" max="5929" width="4.28515625" style="613" customWidth="1"/>
    <col min="5930" max="5930" width="3.7109375" style="613" customWidth="1"/>
    <col min="5931" max="5931" width="5.42578125" style="613" customWidth="1"/>
    <col min="5932" max="5932" width="2.7109375" style="613" customWidth="1"/>
    <col min="5933" max="5933" width="4.42578125" style="613" customWidth="1"/>
    <col min="5934" max="5949" width="2.7109375" style="613" customWidth="1"/>
    <col min="5950" max="6151" width="11.42578125" style="613"/>
    <col min="6152" max="6152" width="3.5703125" style="613" customWidth="1"/>
    <col min="6153" max="6153" width="2.7109375" style="613" customWidth="1"/>
    <col min="6154" max="6154" width="1" style="613" customWidth="1"/>
    <col min="6155" max="6155" width="4.28515625" style="613" customWidth="1"/>
    <col min="6156" max="6162" width="2.7109375" style="613" customWidth="1"/>
    <col min="6163" max="6163" width="1.5703125" style="613" customWidth="1"/>
    <col min="6164" max="6166" width="2.7109375" style="613" customWidth="1"/>
    <col min="6167" max="6167" width="1.42578125" style="613" customWidth="1"/>
    <col min="6168" max="6168" width="1.85546875" style="613" customWidth="1"/>
    <col min="6169" max="6169" width="2.85546875" style="613" customWidth="1"/>
    <col min="6170" max="6171" width="2.7109375" style="613" customWidth="1"/>
    <col min="6172" max="6172" width="2.85546875" style="613" customWidth="1"/>
    <col min="6173" max="6174" width="3.140625" style="613" customWidth="1"/>
    <col min="6175" max="6175" width="2.28515625" style="613" customWidth="1"/>
    <col min="6176" max="6176" width="2.7109375" style="613" customWidth="1"/>
    <col min="6177" max="6177" width="1.28515625" style="613" customWidth="1"/>
    <col min="6178" max="6178" width="1.140625" style="613" customWidth="1"/>
    <col min="6179" max="6179" width="2.7109375" style="613" customWidth="1"/>
    <col min="6180" max="6181" width="1.28515625" style="613" customWidth="1"/>
    <col min="6182" max="6182" width="3.42578125" style="613" customWidth="1"/>
    <col min="6183" max="6183" width="2.7109375" style="613" customWidth="1"/>
    <col min="6184" max="6184" width="6.7109375" style="613" customWidth="1"/>
    <col min="6185" max="6185" width="4.28515625" style="613" customWidth="1"/>
    <col min="6186" max="6186" width="3.7109375" style="613" customWidth="1"/>
    <col min="6187" max="6187" width="5.42578125" style="613" customWidth="1"/>
    <col min="6188" max="6188" width="2.7109375" style="613" customWidth="1"/>
    <col min="6189" max="6189" width="4.42578125" style="613" customWidth="1"/>
    <col min="6190" max="6205" width="2.7109375" style="613" customWidth="1"/>
    <col min="6206" max="6407" width="11.42578125" style="613"/>
    <col min="6408" max="6408" width="3.5703125" style="613" customWidth="1"/>
    <col min="6409" max="6409" width="2.7109375" style="613" customWidth="1"/>
    <col min="6410" max="6410" width="1" style="613" customWidth="1"/>
    <col min="6411" max="6411" width="4.28515625" style="613" customWidth="1"/>
    <col min="6412" max="6418" width="2.7109375" style="613" customWidth="1"/>
    <col min="6419" max="6419" width="1.5703125" style="613" customWidth="1"/>
    <col min="6420" max="6422" width="2.7109375" style="613" customWidth="1"/>
    <col min="6423" max="6423" width="1.42578125" style="613" customWidth="1"/>
    <col min="6424" max="6424" width="1.85546875" style="613" customWidth="1"/>
    <col min="6425" max="6425" width="2.85546875" style="613" customWidth="1"/>
    <col min="6426" max="6427" width="2.7109375" style="613" customWidth="1"/>
    <col min="6428" max="6428" width="2.85546875" style="613" customWidth="1"/>
    <col min="6429" max="6430" width="3.140625" style="613" customWidth="1"/>
    <col min="6431" max="6431" width="2.28515625" style="613" customWidth="1"/>
    <col min="6432" max="6432" width="2.7109375" style="613" customWidth="1"/>
    <col min="6433" max="6433" width="1.28515625" style="613" customWidth="1"/>
    <col min="6434" max="6434" width="1.140625" style="613" customWidth="1"/>
    <col min="6435" max="6435" width="2.7109375" style="613" customWidth="1"/>
    <col min="6436" max="6437" width="1.28515625" style="613" customWidth="1"/>
    <col min="6438" max="6438" width="3.42578125" style="613" customWidth="1"/>
    <col min="6439" max="6439" width="2.7109375" style="613" customWidth="1"/>
    <col min="6440" max="6440" width="6.7109375" style="613" customWidth="1"/>
    <col min="6441" max="6441" width="4.28515625" style="613" customWidth="1"/>
    <col min="6442" max="6442" width="3.7109375" style="613" customWidth="1"/>
    <col min="6443" max="6443" width="5.42578125" style="613" customWidth="1"/>
    <col min="6444" max="6444" width="2.7109375" style="613" customWidth="1"/>
    <col min="6445" max="6445" width="4.42578125" style="613" customWidth="1"/>
    <col min="6446" max="6461" width="2.7109375" style="613" customWidth="1"/>
    <col min="6462" max="6663" width="11.42578125" style="613"/>
    <col min="6664" max="6664" width="3.5703125" style="613" customWidth="1"/>
    <col min="6665" max="6665" width="2.7109375" style="613" customWidth="1"/>
    <col min="6666" max="6666" width="1" style="613" customWidth="1"/>
    <col min="6667" max="6667" width="4.28515625" style="613" customWidth="1"/>
    <col min="6668" max="6674" width="2.7109375" style="613" customWidth="1"/>
    <col min="6675" max="6675" width="1.5703125" style="613" customWidth="1"/>
    <col min="6676" max="6678" width="2.7109375" style="613" customWidth="1"/>
    <col min="6679" max="6679" width="1.42578125" style="613" customWidth="1"/>
    <col min="6680" max="6680" width="1.85546875" style="613" customWidth="1"/>
    <col min="6681" max="6681" width="2.85546875" style="613" customWidth="1"/>
    <col min="6682" max="6683" width="2.7109375" style="613" customWidth="1"/>
    <col min="6684" max="6684" width="2.85546875" style="613" customWidth="1"/>
    <col min="6685" max="6686" width="3.140625" style="613" customWidth="1"/>
    <col min="6687" max="6687" width="2.28515625" style="613" customWidth="1"/>
    <col min="6688" max="6688" width="2.7109375" style="613" customWidth="1"/>
    <col min="6689" max="6689" width="1.28515625" style="613" customWidth="1"/>
    <col min="6690" max="6690" width="1.140625" style="613" customWidth="1"/>
    <col min="6691" max="6691" width="2.7109375" style="613" customWidth="1"/>
    <col min="6692" max="6693" width="1.28515625" style="613" customWidth="1"/>
    <col min="6694" max="6694" width="3.42578125" style="613" customWidth="1"/>
    <col min="6695" max="6695" width="2.7109375" style="613" customWidth="1"/>
    <col min="6696" max="6696" width="6.7109375" style="613" customWidth="1"/>
    <col min="6697" max="6697" width="4.28515625" style="613" customWidth="1"/>
    <col min="6698" max="6698" width="3.7109375" style="613" customWidth="1"/>
    <col min="6699" max="6699" width="5.42578125" style="613" customWidth="1"/>
    <col min="6700" max="6700" width="2.7109375" style="613" customWidth="1"/>
    <col min="6701" max="6701" width="4.42578125" style="613" customWidth="1"/>
    <col min="6702" max="6717" width="2.7109375" style="613" customWidth="1"/>
    <col min="6718" max="6919" width="11.42578125" style="613"/>
    <col min="6920" max="6920" width="3.5703125" style="613" customWidth="1"/>
    <col min="6921" max="6921" width="2.7109375" style="613" customWidth="1"/>
    <col min="6922" max="6922" width="1" style="613" customWidth="1"/>
    <col min="6923" max="6923" width="4.28515625" style="613" customWidth="1"/>
    <col min="6924" max="6930" width="2.7109375" style="613" customWidth="1"/>
    <col min="6931" max="6931" width="1.5703125" style="613" customWidth="1"/>
    <col min="6932" max="6934" width="2.7109375" style="613" customWidth="1"/>
    <col min="6935" max="6935" width="1.42578125" style="613" customWidth="1"/>
    <col min="6936" max="6936" width="1.85546875" style="613" customWidth="1"/>
    <col min="6937" max="6937" width="2.85546875" style="613" customWidth="1"/>
    <col min="6938" max="6939" width="2.7109375" style="613" customWidth="1"/>
    <col min="6940" max="6940" width="2.85546875" style="613" customWidth="1"/>
    <col min="6941" max="6942" width="3.140625" style="613" customWidth="1"/>
    <col min="6943" max="6943" width="2.28515625" style="613" customWidth="1"/>
    <col min="6944" max="6944" width="2.7109375" style="613" customWidth="1"/>
    <col min="6945" max="6945" width="1.28515625" style="613" customWidth="1"/>
    <col min="6946" max="6946" width="1.140625" style="613" customWidth="1"/>
    <col min="6947" max="6947" width="2.7109375" style="613" customWidth="1"/>
    <col min="6948" max="6949" width="1.28515625" style="613" customWidth="1"/>
    <col min="6950" max="6950" width="3.42578125" style="613" customWidth="1"/>
    <col min="6951" max="6951" width="2.7109375" style="613" customWidth="1"/>
    <col min="6952" max="6952" width="6.7109375" style="613" customWidth="1"/>
    <col min="6953" max="6953" width="4.28515625" style="613" customWidth="1"/>
    <col min="6954" max="6954" width="3.7109375" style="613" customWidth="1"/>
    <col min="6955" max="6955" width="5.42578125" style="613" customWidth="1"/>
    <col min="6956" max="6956" width="2.7109375" style="613" customWidth="1"/>
    <col min="6957" max="6957" width="4.42578125" style="613" customWidth="1"/>
    <col min="6958" max="6973" width="2.7109375" style="613" customWidth="1"/>
    <col min="6974" max="7175" width="11.42578125" style="613"/>
    <col min="7176" max="7176" width="3.5703125" style="613" customWidth="1"/>
    <col min="7177" max="7177" width="2.7109375" style="613" customWidth="1"/>
    <col min="7178" max="7178" width="1" style="613" customWidth="1"/>
    <col min="7179" max="7179" width="4.28515625" style="613" customWidth="1"/>
    <col min="7180" max="7186" width="2.7109375" style="613" customWidth="1"/>
    <col min="7187" max="7187" width="1.5703125" style="613" customWidth="1"/>
    <col min="7188" max="7190" width="2.7109375" style="613" customWidth="1"/>
    <col min="7191" max="7191" width="1.42578125" style="613" customWidth="1"/>
    <col min="7192" max="7192" width="1.85546875" style="613" customWidth="1"/>
    <col min="7193" max="7193" width="2.85546875" style="613" customWidth="1"/>
    <col min="7194" max="7195" width="2.7109375" style="613" customWidth="1"/>
    <col min="7196" max="7196" width="2.85546875" style="613" customWidth="1"/>
    <col min="7197" max="7198" width="3.140625" style="613" customWidth="1"/>
    <col min="7199" max="7199" width="2.28515625" style="613" customWidth="1"/>
    <col min="7200" max="7200" width="2.7109375" style="613" customWidth="1"/>
    <col min="7201" max="7201" width="1.28515625" style="613" customWidth="1"/>
    <col min="7202" max="7202" width="1.140625" style="613" customWidth="1"/>
    <col min="7203" max="7203" width="2.7109375" style="613" customWidth="1"/>
    <col min="7204" max="7205" width="1.28515625" style="613" customWidth="1"/>
    <col min="7206" max="7206" width="3.42578125" style="613" customWidth="1"/>
    <col min="7207" max="7207" width="2.7109375" style="613" customWidth="1"/>
    <col min="7208" max="7208" width="6.7109375" style="613" customWidth="1"/>
    <col min="7209" max="7209" width="4.28515625" style="613" customWidth="1"/>
    <col min="7210" max="7210" width="3.7109375" style="613" customWidth="1"/>
    <col min="7211" max="7211" width="5.42578125" style="613" customWidth="1"/>
    <col min="7212" max="7212" width="2.7109375" style="613" customWidth="1"/>
    <col min="7213" max="7213" width="4.42578125" style="613" customWidth="1"/>
    <col min="7214" max="7229" width="2.7109375" style="613" customWidth="1"/>
    <col min="7230" max="7431" width="11.42578125" style="613"/>
    <col min="7432" max="7432" width="3.5703125" style="613" customWidth="1"/>
    <col min="7433" max="7433" width="2.7109375" style="613" customWidth="1"/>
    <col min="7434" max="7434" width="1" style="613" customWidth="1"/>
    <col min="7435" max="7435" width="4.28515625" style="613" customWidth="1"/>
    <col min="7436" max="7442" width="2.7109375" style="613" customWidth="1"/>
    <col min="7443" max="7443" width="1.5703125" style="613" customWidth="1"/>
    <col min="7444" max="7446" width="2.7109375" style="613" customWidth="1"/>
    <col min="7447" max="7447" width="1.42578125" style="613" customWidth="1"/>
    <col min="7448" max="7448" width="1.85546875" style="613" customWidth="1"/>
    <col min="7449" max="7449" width="2.85546875" style="613" customWidth="1"/>
    <col min="7450" max="7451" width="2.7109375" style="613" customWidth="1"/>
    <col min="7452" max="7452" width="2.85546875" style="613" customWidth="1"/>
    <col min="7453" max="7454" width="3.140625" style="613" customWidth="1"/>
    <col min="7455" max="7455" width="2.28515625" style="613" customWidth="1"/>
    <col min="7456" max="7456" width="2.7109375" style="613" customWidth="1"/>
    <col min="7457" max="7457" width="1.28515625" style="613" customWidth="1"/>
    <col min="7458" max="7458" width="1.140625" style="613" customWidth="1"/>
    <col min="7459" max="7459" width="2.7109375" style="613" customWidth="1"/>
    <col min="7460" max="7461" width="1.28515625" style="613" customWidth="1"/>
    <col min="7462" max="7462" width="3.42578125" style="613" customWidth="1"/>
    <col min="7463" max="7463" width="2.7109375" style="613" customWidth="1"/>
    <col min="7464" max="7464" width="6.7109375" style="613" customWidth="1"/>
    <col min="7465" max="7465" width="4.28515625" style="613" customWidth="1"/>
    <col min="7466" max="7466" width="3.7109375" style="613" customWidth="1"/>
    <col min="7467" max="7467" width="5.42578125" style="613" customWidth="1"/>
    <col min="7468" max="7468" width="2.7109375" style="613" customWidth="1"/>
    <col min="7469" max="7469" width="4.42578125" style="613" customWidth="1"/>
    <col min="7470" max="7485" width="2.7109375" style="613" customWidth="1"/>
    <col min="7486" max="7687" width="11.42578125" style="613"/>
    <col min="7688" max="7688" width="3.5703125" style="613" customWidth="1"/>
    <col min="7689" max="7689" width="2.7109375" style="613" customWidth="1"/>
    <col min="7690" max="7690" width="1" style="613" customWidth="1"/>
    <col min="7691" max="7691" width="4.28515625" style="613" customWidth="1"/>
    <col min="7692" max="7698" width="2.7109375" style="613" customWidth="1"/>
    <col min="7699" max="7699" width="1.5703125" style="613" customWidth="1"/>
    <col min="7700" max="7702" width="2.7109375" style="613" customWidth="1"/>
    <col min="7703" max="7703" width="1.42578125" style="613" customWidth="1"/>
    <col min="7704" max="7704" width="1.85546875" style="613" customWidth="1"/>
    <col min="7705" max="7705" width="2.85546875" style="613" customWidth="1"/>
    <col min="7706" max="7707" width="2.7109375" style="613" customWidth="1"/>
    <col min="7708" max="7708" width="2.85546875" style="613" customWidth="1"/>
    <col min="7709" max="7710" width="3.140625" style="613" customWidth="1"/>
    <col min="7711" max="7711" width="2.28515625" style="613" customWidth="1"/>
    <col min="7712" max="7712" width="2.7109375" style="613" customWidth="1"/>
    <col min="7713" max="7713" width="1.28515625" style="613" customWidth="1"/>
    <col min="7714" max="7714" width="1.140625" style="613" customWidth="1"/>
    <col min="7715" max="7715" width="2.7109375" style="613" customWidth="1"/>
    <col min="7716" max="7717" width="1.28515625" style="613" customWidth="1"/>
    <col min="7718" max="7718" width="3.42578125" style="613" customWidth="1"/>
    <col min="7719" max="7719" width="2.7109375" style="613" customWidth="1"/>
    <col min="7720" max="7720" width="6.7109375" style="613" customWidth="1"/>
    <col min="7721" max="7721" width="4.28515625" style="613" customWidth="1"/>
    <col min="7722" max="7722" width="3.7109375" style="613" customWidth="1"/>
    <col min="7723" max="7723" width="5.42578125" style="613" customWidth="1"/>
    <col min="7724" max="7724" width="2.7109375" style="613" customWidth="1"/>
    <col min="7725" max="7725" width="4.42578125" style="613" customWidth="1"/>
    <col min="7726" max="7741" width="2.7109375" style="613" customWidth="1"/>
    <col min="7742" max="7943" width="11.42578125" style="613"/>
    <col min="7944" max="7944" width="3.5703125" style="613" customWidth="1"/>
    <col min="7945" max="7945" width="2.7109375" style="613" customWidth="1"/>
    <col min="7946" max="7946" width="1" style="613" customWidth="1"/>
    <col min="7947" max="7947" width="4.28515625" style="613" customWidth="1"/>
    <col min="7948" max="7954" width="2.7109375" style="613" customWidth="1"/>
    <col min="7955" max="7955" width="1.5703125" style="613" customWidth="1"/>
    <col min="7956" max="7958" width="2.7109375" style="613" customWidth="1"/>
    <col min="7959" max="7959" width="1.42578125" style="613" customWidth="1"/>
    <col min="7960" max="7960" width="1.85546875" style="613" customWidth="1"/>
    <col min="7961" max="7961" width="2.85546875" style="613" customWidth="1"/>
    <col min="7962" max="7963" width="2.7109375" style="613" customWidth="1"/>
    <col min="7964" max="7964" width="2.85546875" style="613" customWidth="1"/>
    <col min="7965" max="7966" width="3.140625" style="613" customWidth="1"/>
    <col min="7967" max="7967" width="2.28515625" style="613" customWidth="1"/>
    <col min="7968" max="7968" width="2.7109375" style="613" customWidth="1"/>
    <col min="7969" max="7969" width="1.28515625" style="613" customWidth="1"/>
    <col min="7970" max="7970" width="1.140625" style="613" customWidth="1"/>
    <col min="7971" max="7971" width="2.7109375" style="613" customWidth="1"/>
    <col min="7972" max="7973" width="1.28515625" style="613" customWidth="1"/>
    <col min="7974" max="7974" width="3.42578125" style="613" customWidth="1"/>
    <col min="7975" max="7975" width="2.7109375" style="613" customWidth="1"/>
    <col min="7976" max="7976" width="6.7109375" style="613" customWidth="1"/>
    <col min="7977" max="7977" width="4.28515625" style="613" customWidth="1"/>
    <col min="7978" max="7978" width="3.7109375" style="613" customWidth="1"/>
    <col min="7979" max="7979" width="5.42578125" style="613" customWidth="1"/>
    <col min="7980" max="7980" width="2.7109375" style="613" customWidth="1"/>
    <col min="7981" max="7981" width="4.42578125" style="613" customWidth="1"/>
    <col min="7982" max="7997" width="2.7109375" style="613" customWidth="1"/>
    <col min="7998" max="8199" width="11.42578125" style="613"/>
    <col min="8200" max="8200" width="3.5703125" style="613" customWidth="1"/>
    <col min="8201" max="8201" width="2.7109375" style="613" customWidth="1"/>
    <col min="8202" max="8202" width="1" style="613" customWidth="1"/>
    <col min="8203" max="8203" width="4.28515625" style="613" customWidth="1"/>
    <col min="8204" max="8210" width="2.7109375" style="613" customWidth="1"/>
    <col min="8211" max="8211" width="1.5703125" style="613" customWidth="1"/>
    <col min="8212" max="8214" width="2.7109375" style="613" customWidth="1"/>
    <col min="8215" max="8215" width="1.42578125" style="613" customWidth="1"/>
    <col min="8216" max="8216" width="1.85546875" style="613" customWidth="1"/>
    <col min="8217" max="8217" width="2.85546875" style="613" customWidth="1"/>
    <col min="8218" max="8219" width="2.7109375" style="613" customWidth="1"/>
    <col min="8220" max="8220" width="2.85546875" style="613" customWidth="1"/>
    <col min="8221" max="8222" width="3.140625" style="613" customWidth="1"/>
    <col min="8223" max="8223" width="2.28515625" style="613" customWidth="1"/>
    <col min="8224" max="8224" width="2.7109375" style="613" customWidth="1"/>
    <col min="8225" max="8225" width="1.28515625" style="613" customWidth="1"/>
    <col min="8226" max="8226" width="1.140625" style="613" customWidth="1"/>
    <col min="8227" max="8227" width="2.7109375" style="613" customWidth="1"/>
    <col min="8228" max="8229" width="1.28515625" style="613" customWidth="1"/>
    <col min="8230" max="8230" width="3.42578125" style="613" customWidth="1"/>
    <col min="8231" max="8231" width="2.7109375" style="613" customWidth="1"/>
    <col min="8232" max="8232" width="6.7109375" style="613" customWidth="1"/>
    <col min="8233" max="8233" width="4.28515625" style="613" customWidth="1"/>
    <col min="8234" max="8234" width="3.7109375" style="613" customWidth="1"/>
    <col min="8235" max="8235" width="5.42578125" style="613" customWidth="1"/>
    <col min="8236" max="8236" width="2.7109375" style="613" customWidth="1"/>
    <col min="8237" max="8237" width="4.42578125" style="613" customWidth="1"/>
    <col min="8238" max="8253" width="2.7109375" style="613" customWidth="1"/>
    <col min="8254" max="8455" width="11.42578125" style="613"/>
    <col min="8456" max="8456" width="3.5703125" style="613" customWidth="1"/>
    <col min="8457" max="8457" width="2.7109375" style="613" customWidth="1"/>
    <col min="8458" max="8458" width="1" style="613" customWidth="1"/>
    <col min="8459" max="8459" width="4.28515625" style="613" customWidth="1"/>
    <col min="8460" max="8466" width="2.7109375" style="613" customWidth="1"/>
    <col min="8467" max="8467" width="1.5703125" style="613" customWidth="1"/>
    <col min="8468" max="8470" width="2.7109375" style="613" customWidth="1"/>
    <col min="8471" max="8471" width="1.42578125" style="613" customWidth="1"/>
    <col min="8472" max="8472" width="1.85546875" style="613" customWidth="1"/>
    <col min="8473" max="8473" width="2.85546875" style="613" customWidth="1"/>
    <col min="8474" max="8475" width="2.7109375" style="613" customWidth="1"/>
    <col min="8476" max="8476" width="2.85546875" style="613" customWidth="1"/>
    <col min="8477" max="8478" width="3.140625" style="613" customWidth="1"/>
    <col min="8479" max="8479" width="2.28515625" style="613" customWidth="1"/>
    <col min="8480" max="8480" width="2.7109375" style="613" customWidth="1"/>
    <col min="8481" max="8481" width="1.28515625" style="613" customWidth="1"/>
    <col min="8482" max="8482" width="1.140625" style="613" customWidth="1"/>
    <col min="8483" max="8483" width="2.7109375" style="613" customWidth="1"/>
    <col min="8484" max="8485" width="1.28515625" style="613" customWidth="1"/>
    <col min="8486" max="8486" width="3.42578125" style="613" customWidth="1"/>
    <col min="8487" max="8487" width="2.7109375" style="613" customWidth="1"/>
    <col min="8488" max="8488" width="6.7109375" style="613" customWidth="1"/>
    <col min="8489" max="8489" width="4.28515625" style="613" customWidth="1"/>
    <col min="8490" max="8490" width="3.7109375" style="613" customWidth="1"/>
    <col min="8491" max="8491" width="5.42578125" style="613" customWidth="1"/>
    <col min="8492" max="8492" width="2.7109375" style="613" customWidth="1"/>
    <col min="8493" max="8493" width="4.42578125" style="613" customWidth="1"/>
    <col min="8494" max="8509" width="2.7109375" style="613" customWidth="1"/>
    <col min="8510" max="8711" width="11.42578125" style="613"/>
    <col min="8712" max="8712" width="3.5703125" style="613" customWidth="1"/>
    <col min="8713" max="8713" width="2.7109375" style="613" customWidth="1"/>
    <col min="8714" max="8714" width="1" style="613" customWidth="1"/>
    <col min="8715" max="8715" width="4.28515625" style="613" customWidth="1"/>
    <col min="8716" max="8722" width="2.7109375" style="613" customWidth="1"/>
    <col min="8723" max="8723" width="1.5703125" style="613" customWidth="1"/>
    <col min="8724" max="8726" width="2.7109375" style="613" customWidth="1"/>
    <col min="8727" max="8727" width="1.42578125" style="613" customWidth="1"/>
    <col min="8728" max="8728" width="1.85546875" style="613" customWidth="1"/>
    <col min="8729" max="8729" width="2.85546875" style="613" customWidth="1"/>
    <col min="8730" max="8731" width="2.7109375" style="613" customWidth="1"/>
    <col min="8732" max="8732" width="2.85546875" style="613" customWidth="1"/>
    <col min="8733" max="8734" width="3.140625" style="613" customWidth="1"/>
    <col min="8735" max="8735" width="2.28515625" style="613" customWidth="1"/>
    <col min="8736" max="8736" width="2.7109375" style="613" customWidth="1"/>
    <col min="8737" max="8737" width="1.28515625" style="613" customWidth="1"/>
    <col min="8738" max="8738" width="1.140625" style="613" customWidth="1"/>
    <col min="8739" max="8739" width="2.7109375" style="613" customWidth="1"/>
    <col min="8740" max="8741" width="1.28515625" style="613" customWidth="1"/>
    <col min="8742" max="8742" width="3.42578125" style="613" customWidth="1"/>
    <col min="8743" max="8743" width="2.7109375" style="613" customWidth="1"/>
    <col min="8744" max="8744" width="6.7109375" style="613" customWidth="1"/>
    <col min="8745" max="8745" width="4.28515625" style="613" customWidth="1"/>
    <col min="8746" max="8746" width="3.7109375" style="613" customWidth="1"/>
    <col min="8747" max="8747" width="5.42578125" style="613" customWidth="1"/>
    <col min="8748" max="8748" width="2.7109375" style="613" customWidth="1"/>
    <col min="8749" max="8749" width="4.42578125" style="613" customWidth="1"/>
    <col min="8750" max="8765" width="2.7109375" style="613" customWidth="1"/>
    <col min="8766" max="8967" width="11.42578125" style="613"/>
    <col min="8968" max="8968" width="3.5703125" style="613" customWidth="1"/>
    <col min="8969" max="8969" width="2.7109375" style="613" customWidth="1"/>
    <col min="8970" max="8970" width="1" style="613" customWidth="1"/>
    <col min="8971" max="8971" width="4.28515625" style="613" customWidth="1"/>
    <col min="8972" max="8978" width="2.7109375" style="613" customWidth="1"/>
    <col min="8979" max="8979" width="1.5703125" style="613" customWidth="1"/>
    <col min="8980" max="8982" width="2.7109375" style="613" customWidth="1"/>
    <col min="8983" max="8983" width="1.42578125" style="613" customWidth="1"/>
    <col min="8984" max="8984" width="1.85546875" style="613" customWidth="1"/>
    <col min="8985" max="8985" width="2.85546875" style="613" customWidth="1"/>
    <col min="8986" max="8987" width="2.7109375" style="613" customWidth="1"/>
    <col min="8988" max="8988" width="2.85546875" style="613" customWidth="1"/>
    <col min="8989" max="8990" width="3.140625" style="613" customWidth="1"/>
    <col min="8991" max="8991" width="2.28515625" style="613" customWidth="1"/>
    <col min="8992" max="8992" width="2.7109375" style="613" customWidth="1"/>
    <col min="8993" max="8993" width="1.28515625" style="613" customWidth="1"/>
    <col min="8994" max="8994" width="1.140625" style="613" customWidth="1"/>
    <col min="8995" max="8995" width="2.7109375" style="613" customWidth="1"/>
    <col min="8996" max="8997" width="1.28515625" style="613" customWidth="1"/>
    <col min="8998" max="8998" width="3.42578125" style="613" customWidth="1"/>
    <col min="8999" max="8999" width="2.7109375" style="613" customWidth="1"/>
    <col min="9000" max="9000" width="6.7109375" style="613" customWidth="1"/>
    <col min="9001" max="9001" width="4.28515625" style="613" customWidth="1"/>
    <col min="9002" max="9002" width="3.7109375" style="613" customWidth="1"/>
    <col min="9003" max="9003" width="5.42578125" style="613" customWidth="1"/>
    <col min="9004" max="9004" width="2.7109375" style="613" customWidth="1"/>
    <col min="9005" max="9005" width="4.42578125" style="613" customWidth="1"/>
    <col min="9006" max="9021" width="2.7109375" style="613" customWidth="1"/>
    <col min="9022" max="9223" width="11.42578125" style="613"/>
    <col min="9224" max="9224" width="3.5703125" style="613" customWidth="1"/>
    <col min="9225" max="9225" width="2.7109375" style="613" customWidth="1"/>
    <col min="9226" max="9226" width="1" style="613" customWidth="1"/>
    <col min="9227" max="9227" width="4.28515625" style="613" customWidth="1"/>
    <col min="9228" max="9234" width="2.7109375" style="613" customWidth="1"/>
    <col min="9235" max="9235" width="1.5703125" style="613" customWidth="1"/>
    <col min="9236" max="9238" width="2.7109375" style="613" customWidth="1"/>
    <col min="9239" max="9239" width="1.42578125" style="613" customWidth="1"/>
    <col min="9240" max="9240" width="1.85546875" style="613" customWidth="1"/>
    <col min="9241" max="9241" width="2.85546875" style="613" customWidth="1"/>
    <col min="9242" max="9243" width="2.7109375" style="613" customWidth="1"/>
    <col min="9244" max="9244" width="2.85546875" style="613" customWidth="1"/>
    <col min="9245" max="9246" width="3.140625" style="613" customWidth="1"/>
    <col min="9247" max="9247" width="2.28515625" style="613" customWidth="1"/>
    <col min="9248" max="9248" width="2.7109375" style="613" customWidth="1"/>
    <col min="9249" max="9249" width="1.28515625" style="613" customWidth="1"/>
    <col min="9250" max="9250" width="1.140625" style="613" customWidth="1"/>
    <col min="9251" max="9251" width="2.7109375" style="613" customWidth="1"/>
    <col min="9252" max="9253" width="1.28515625" style="613" customWidth="1"/>
    <col min="9254" max="9254" width="3.42578125" style="613" customWidth="1"/>
    <col min="9255" max="9255" width="2.7109375" style="613" customWidth="1"/>
    <col min="9256" max="9256" width="6.7109375" style="613" customWidth="1"/>
    <col min="9257" max="9257" width="4.28515625" style="613" customWidth="1"/>
    <col min="9258" max="9258" width="3.7109375" style="613" customWidth="1"/>
    <col min="9259" max="9259" width="5.42578125" style="613" customWidth="1"/>
    <col min="9260" max="9260" width="2.7109375" style="613" customWidth="1"/>
    <col min="9261" max="9261" width="4.42578125" style="613" customWidth="1"/>
    <col min="9262" max="9277" width="2.7109375" style="613" customWidth="1"/>
    <col min="9278" max="9479" width="11.42578125" style="613"/>
    <col min="9480" max="9480" width="3.5703125" style="613" customWidth="1"/>
    <col min="9481" max="9481" width="2.7109375" style="613" customWidth="1"/>
    <col min="9482" max="9482" width="1" style="613" customWidth="1"/>
    <col min="9483" max="9483" width="4.28515625" style="613" customWidth="1"/>
    <col min="9484" max="9490" width="2.7109375" style="613" customWidth="1"/>
    <col min="9491" max="9491" width="1.5703125" style="613" customWidth="1"/>
    <col min="9492" max="9494" width="2.7109375" style="613" customWidth="1"/>
    <col min="9495" max="9495" width="1.42578125" style="613" customWidth="1"/>
    <col min="9496" max="9496" width="1.85546875" style="613" customWidth="1"/>
    <col min="9497" max="9497" width="2.85546875" style="613" customWidth="1"/>
    <col min="9498" max="9499" width="2.7109375" style="613" customWidth="1"/>
    <col min="9500" max="9500" width="2.85546875" style="613" customWidth="1"/>
    <col min="9501" max="9502" width="3.140625" style="613" customWidth="1"/>
    <col min="9503" max="9503" width="2.28515625" style="613" customWidth="1"/>
    <col min="9504" max="9504" width="2.7109375" style="613" customWidth="1"/>
    <col min="9505" max="9505" width="1.28515625" style="613" customWidth="1"/>
    <col min="9506" max="9506" width="1.140625" style="613" customWidth="1"/>
    <col min="9507" max="9507" width="2.7109375" style="613" customWidth="1"/>
    <col min="9508" max="9509" width="1.28515625" style="613" customWidth="1"/>
    <col min="9510" max="9510" width="3.42578125" style="613" customWidth="1"/>
    <col min="9511" max="9511" width="2.7109375" style="613" customWidth="1"/>
    <col min="9512" max="9512" width="6.7109375" style="613" customWidth="1"/>
    <col min="9513" max="9513" width="4.28515625" style="613" customWidth="1"/>
    <col min="9514" max="9514" width="3.7109375" style="613" customWidth="1"/>
    <col min="9515" max="9515" width="5.42578125" style="613" customWidth="1"/>
    <col min="9516" max="9516" width="2.7109375" style="613" customWidth="1"/>
    <col min="9517" max="9517" width="4.42578125" style="613" customWidth="1"/>
    <col min="9518" max="9533" width="2.7109375" style="613" customWidth="1"/>
    <col min="9534" max="9735" width="11.42578125" style="613"/>
    <col min="9736" max="9736" width="3.5703125" style="613" customWidth="1"/>
    <col min="9737" max="9737" width="2.7109375" style="613" customWidth="1"/>
    <col min="9738" max="9738" width="1" style="613" customWidth="1"/>
    <col min="9739" max="9739" width="4.28515625" style="613" customWidth="1"/>
    <col min="9740" max="9746" width="2.7109375" style="613" customWidth="1"/>
    <col min="9747" max="9747" width="1.5703125" style="613" customWidth="1"/>
    <col min="9748" max="9750" width="2.7109375" style="613" customWidth="1"/>
    <col min="9751" max="9751" width="1.42578125" style="613" customWidth="1"/>
    <col min="9752" max="9752" width="1.85546875" style="613" customWidth="1"/>
    <col min="9753" max="9753" width="2.85546875" style="613" customWidth="1"/>
    <col min="9754" max="9755" width="2.7109375" style="613" customWidth="1"/>
    <col min="9756" max="9756" width="2.85546875" style="613" customWidth="1"/>
    <col min="9757" max="9758" width="3.140625" style="613" customWidth="1"/>
    <col min="9759" max="9759" width="2.28515625" style="613" customWidth="1"/>
    <col min="9760" max="9760" width="2.7109375" style="613" customWidth="1"/>
    <col min="9761" max="9761" width="1.28515625" style="613" customWidth="1"/>
    <col min="9762" max="9762" width="1.140625" style="613" customWidth="1"/>
    <col min="9763" max="9763" width="2.7109375" style="613" customWidth="1"/>
    <col min="9764" max="9765" width="1.28515625" style="613" customWidth="1"/>
    <col min="9766" max="9766" width="3.42578125" style="613" customWidth="1"/>
    <col min="9767" max="9767" width="2.7109375" style="613" customWidth="1"/>
    <col min="9768" max="9768" width="6.7109375" style="613" customWidth="1"/>
    <col min="9769" max="9769" width="4.28515625" style="613" customWidth="1"/>
    <col min="9770" max="9770" width="3.7109375" style="613" customWidth="1"/>
    <col min="9771" max="9771" width="5.42578125" style="613" customWidth="1"/>
    <col min="9772" max="9772" width="2.7109375" style="613" customWidth="1"/>
    <col min="9773" max="9773" width="4.42578125" style="613" customWidth="1"/>
    <col min="9774" max="9789" width="2.7109375" style="613" customWidth="1"/>
    <col min="9790" max="9991" width="11.42578125" style="613"/>
    <col min="9992" max="9992" width="3.5703125" style="613" customWidth="1"/>
    <col min="9993" max="9993" width="2.7109375" style="613" customWidth="1"/>
    <col min="9994" max="9994" width="1" style="613" customWidth="1"/>
    <col min="9995" max="9995" width="4.28515625" style="613" customWidth="1"/>
    <col min="9996" max="10002" width="2.7109375" style="613" customWidth="1"/>
    <col min="10003" max="10003" width="1.5703125" style="613" customWidth="1"/>
    <col min="10004" max="10006" width="2.7109375" style="613" customWidth="1"/>
    <col min="10007" max="10007" width="1.42578125" style="613" customWidth="1"/>
    <col min="10008" max="10008" width="1.85546875" style="613" customWidth="1"/>
    <col min="10009" max="10009" width="2.85546875" style="613" customWidth="1"/>
    <col min="10010" max="10011" width="2.7109375" style="613" customWidth="1"/>
    <col min="10012" max="10012" width="2.85546875" style="613" customWidth="1"/>
    <col min="10013" max="10014" width="3.140625" style="613" customWidth="1"/>
    <col min="10015" max="10015" width="2.28515625" style="613" customWidth="1"/>
    <col min="10016" max="10016" width="2.7109375" style="613" customWidth="1"/>
    <col min="10017" max="10017" width="1.28515625" style="613" customWidth="1"/>
    <col min="10018" max="10018" width="1.140625" style="613" customWidth="1"/>
    <col min="10019" max="10019" width="2.7109375" style="613" customWidth="1"/>
    <col min="10020" max="10021" width="1.28515625" style="613" customWidth="1"/>
    <col min="10022" max="10022" width="3.42578125" style="613" customWidth="1"/>
    <col min="10023" max="10023" width="2.7109375" style="613" customWidth="1"/>
    <col min="10024" max="10024" width="6.7109375" style="613" customWidth="1"/>
    <col min="10025" max="10025" width="4.28515625" style="613" customWidth="1"/>
    <col min="10026" max="10026" width="3.7109375" style="613" customWidth="1"/>
    <col min="10027" max="10027" width="5.42578125" style="613" customWidth="1"/>
    <col min="10028" max="10028" width="2.7109375" style="613" customWidth="1"/>
    <col min="10029" max="10029" width="4.42578125" style="613" customWidth="1"/>
    <col min="10030" max="10045" width="2.7109375" style="613" customWidth="1"/>
    <col min="10046" max="10247" width="11.42578125" style="613"/>
    <col min="10248" max="10248" width="3.5703125" style="613" customWidth="1"/>
    <col min="10249" max="10249" width="2.7109375" style="613" customWidth="1"/>
    <col min="10250" max="10250" width="1" style="613" customWidth="1"/>
    <col min="10251" max="10251" width="4.28515625" style="613" customWidth="1"/>
    <col min="10252" max="10258" width="2.7109375" style="613" customWidth="1"/>
    <col min="10259" max="10259" width="1.5703125" style="613" customWidth="1"/>
    <col min="10260" max="10262" width="2.7109375" style="613" customWidth="1"/>
    <col min="10263" max="10263" width="1.42578125" style="613" customWidth="1"/>
    <col min="10264" max="10264" width="1.85546875" style="613" customWidth="1"/>
    <col min="10265" max="10265" width="2.85546875" style="613" customWidth="1"/>
    <col min="10266" max="10267" width="2.7109375" style="613" customWidth="1"/>
    <col min="10268" max="10268" width="2.85546875" style="613" customWidth="1"/>
    <col min="10269" max="10270" width="3.140625" style="613" customWidth="1"/>
    <col min="10271" max="10271" width="2.28515625" style="613" customWidth="1"/>
    <col min="10272" max="10272" width="2.7109375" style="613" customWidth="1"/>
    <col min="10273" max="10273" width="1.28515625" style="613" customWidth="1"/>
    <col min="10274" max="10274" width="1.140625" style="613" customWidth="1"/>
    <col min="10275" max="10275" width="2.7109375" style="613" customWidth="1"/>
    <col min="10276" max="10277" width="1.28515625" style="613" customWidth="1"/>
    <col min="10278" max="10278" width="3.42578125" style="613" customWidth="1"/>
    <col min="10279" max="10279" width="2.7109375" style="613" customWidth="1"/>
    <col min="10280" max="10280" width="6.7109375" style="613" customWidth="1"/>
    <col min="10281" max="10281" width="4.28515625" style="613" customWidth="1"/>
    <col min="10282" max="10282" width="3.7109375" style="613" customWidth="1"/>
    <col min="10283" max="10283" width="5.42578125" style="613" customWidth="1"/>
    <col min="10284" max="10284" width="2.7109375" style="613" customWidth="1"/>
    <col min="10285" max="10285" width="4.42578125" style="613" customWidth="1"/>
    <col min="10286" max="10301" width="2.7109375" style="613" customWidth="1"/>
    <col min="10302" max="10503" width="11.42578125" style="613"/>
    <col min="10504" max="10504" width="3.5703125" style="613" customWidth="1"/>
    <col min="10505" max="10505" width="2.7109375" style="613" customWidth="1"/>
    <col min="10506" max="10506" width="1" style="613" customWidth="1"/>
    <col min="10507" max="10507" width="4.28515625" style="613" customWidth="1"/>
    <col min="10508" max="10514" width="2.7109375" style="613" customWidth="1"/>
    <col min="10515" max="10515" width="1.5703125" style="613" customWidth="1"/>
    <col min="10516" max="10518" width="2.7109375" style="613" customWidth="1"/>
    <col min="10519" max="10519" width="1.42578125" style="613" customWidth="1"/>
    <col min="10520" max="10520" width="1.85546875" style="613" customWidth="1"/>
    <col min="10521" max="10521" width="2.85546875" style="613" customWidth="1"/>
    <col min="10522" max="10523" width="2.7109375" style="613" customWidth="1"/>
    <col min="10524" max="10524" width="2.85546875" style="613" customWidth="1"/>
    <col min="10525" max="10526" width="3.140625" style="613" customWidth="1"/>
    <col min="10527" max="10527" width="2.28515625" style="613" customWidth="1"/>
    <col min="10528" max="10528" width="2.7109375" style="613" customWidth="1"/>
    <col min="10529" max="10529" width="1.28515625" style="613" customWidth="1"/>
    <col min="10530" max="10530" width="1.140625" style="613" customWidth="1"/>
    <col min="10531" max="10531" width="2.7109375" style="613" customWidth="1"/>
    <col min="10532" max="10533" width="1.28515625" style="613" customWidth="1"/>
    <col min="10534" max="10534" width="3.42578125" style="613" customWidth="1"/>
    <col min="10535" max="10535" width="2.7109375" style="613" customWidth="1"/>
    <col min="10536" max="10536" width="6.7109375" style="613" customWidth="1"/>
    <col min="10537" max="10537" width="4.28515625" style="613" customWidth="1"/>
    <col min="10538" max="10538" width="3.7109375" style="613" customWidth="1"/>
    <col min="10539" max="10539" width="5.42578125" style="613" customWidth="1"/>
    <col min="10540" max="10540" width="2.7109375" style="613" customWidth="1"/>
    <col min="10541" max="10541" width="4.42578125" style="613" customWidth="1"/>
    <col min="10542" max="10557" width="2.7109375" style="613" customWidth="1"/>
    <col min="10558" max="10759" width="11.42578125" style="613"/>
    <col min="10760" max="10760" width="3.5703125" style="613" customWidth="1"/>
    <col min="10761" max="10761" width="2.7109375" style="613" customWidth="1"/>
    <col min="10762" max="10762" width="1" style="613" customWidth="1"/>
    <col min="10763" max="10763" width="4.28515625" style="613" customWidth="1"/>
    <col min="10764" max="10770" width="2.7109375" style="613" customWidth="1"/>
    <col min="10771" max="10771" width="1.5703125" style="613" customWidth="1"/>
    <col min="10772" max="10774" width="2.7109375" style="613" customWidth="1"/>
    <col min="10775" max="10775" width="1.42578125" style="613" customWidth="1"/>
    <col min="10776" max="10776" width="1.85546875" style="613" customWidth="1"/>
    <col min="10777" max="10777" width="2.85546875" style="613" customWidth="1"/>
    <col min="10778" max="10779" width="2.7109375" style="613" customWidth="1"/>
    <col min="10780" max="10780" width="2.85546875" style="613" customWidth="1"/>
    <col min="10781" max="10782" width="3.140625" style="613" customWidth="1"/>
    <col min="10783" max="10783" width="2.28515625" style="613" customWidth="1"/>
    <col min="10784" max="10784" width="2.7109375" style="613" customWidth="1"/>
    <col min="10785" max="10785" width="1.28515625" style="613" customWidth="1"/>
    <col min="10786" max="10786" width="1.140625" style="613" customWidth="1"/>
    <col min="10787" max="10787" width="2.7109375" style="613" customWidth="1"/>
    <col min="10788" max="10789" width="1.28515625" style="613" customWidth="1"/>
    <col min="10790" max="10790" width="3.42578125" style="613" customWidth="1"/>
    <col min="10791" max="10791" width="2.7109375" style="613" customWidth="1"/>
    <col min="10792" max="10792" width="6.7109375" style="613" customWidth="1"/>
    <col min="10793" max="10793" width="4.28515625" style="613" customWidth="1"/>
    <col min="10794" max="10794" width="3.7109375" style="613" customWidth="1"/>
    <col min="10795" max="10795" width="5.42578125" style="613" customWidth="1"/>
    <col min="10796" max="10796" width="2.7109375" style="613" customWidth="1"/>
    <col min="10797" max="10797" width="4.42578125" style="613" customWidth="1"/>
    <col min="10798" max="10813" width="2.7109375" style="613" customWidth="1"/>
    <col min="10814" max="11015" width="11.42578125" style="613"/>
    <col min="11016" max="11016" width="3.5703125" style="613" customWidth="1"/>
    <col min="11017" max="11017" width="2.7109375" style="613" customWidth="1"/>
    <col min="11018" max="11018" width="1" style="613" customWidth="1"/>
    <col min="11019" max="11019" width="4.28515625" style="613" customWidth="1"/>
    <col min="11020" max="11026" width="2.7109375" style="613" customWidth="1"/>
    <col min="11027" max="11027" width="1.5703125" style="613" customWidth="1"/>
    <col min="11028" max="11030" width="2.7109375" style="613" customWidth="1"/>
    <col min="11031" max="11031" width="1.42578125" style="613" customWidth="1"/>
    <col min="11032" max="11032" width="1.85546875" style="613" customWidth="1"/>
    <col min="11033" max="11033" width="2.85546875" style="613" customWidth="1"/>
    <col min="11034" max="11035" width="2.7109375" style="613" customWidth="1"/>
    <col min="11036" max="11036" width="2.85546875" style="613" customWidth="1"/>
    <col min="11037" max="11038" width="3.140625" style="613" customWidth="1"/>
    <col min="11039" max="11039" width="2.28515625" style="613" customWidth="1"/>
    <col min="11040" max="11040" width="2.7109375" style="613" customWidth="1"/>
    <col min="11041" max="11041" width="1.28515625" style="613" customWidth="1"/>
    <col min="11042" max="11042" width="1.140625" style="613" customWidth="1"/>
    <col min="11043" max="11043" width="2.7109375" style="613" customWidth="1"/>
    <col min="11044" max="11045" width="1.28515625" style="613" customWidth="1"/>
    <col min="11046" max="11046" width="3.42578125" style="613" customWidth="1"/>
    <col min="11047" max="11047" width="2.7109375" style="613" customWidth="1"/>
    <col min="11048" max="11048" width="6.7109375" style="613" customWidth="1"/>
    <col min="11049" max="11049" width="4.28515625" style="613" customWidth="1"/>
    <col min="11050" max="11050" width="3.7109375" style="613" customWidth="1"/>
    <col min="11051" max="11051" width="5.42578125" style="613" customWidth="1"/>
    <col min="11052" max="11052" width="2.7109375" style="613" customWidth="1"/>
    <col min="11053" max="11053" width="4.42578125" style="613" customWidth="1"/>
    <col min="11054" max="11069" width="2.7109375" style="613" customWidth="1"/>
    <col min="11070" max="11271" width="11.42578125" style="613"/>
    <col min="11272" max="11272" width="3.5703125" style="613" customWidth="1"/>
    <col min="11273" max="11273" width="2.7109375" style="613" customWidth="1"/>
    <col min="11274" max="11274" width="1" style="613" customWidth="1"/>
    <col min="11275" max="11275" width="4.28515625" style="613" customWidth="1"/>
    <col min="11276" max="11282" width="2.7109375" style="613" customWidth="1"/>
    <col min="11283" max="11283" width="1.5703125" style="613" customWidth="1"/>
    <col min="11284" max="11286" width="2.7109375" style="613" customWidth="1"/>
    <col min="11287" max="11287" width="1.42578125" style="613" customWidth="1"/>
    <col min="11288" max="11288" width="1.85546875" style="613" customWidth="1"/>
    <col min="11289" max="11289" width="2.85546875" style="613" customWidth="1"/>
    <col min="11290" max="11291" width="2.7109375" style="613" customWidth="1"/>
    <col min="11292" max="11292" width="2.85546875" style="613" customWidth="1"/>
    <col min="11293" max="11294" width="3.140625" style="613" customWidth="1"/>
    <col min="11295" max="11295" width="2.28515625" style="613" customWidth="1"/>
    <col min="11296" max="11296" width="2.7109375" style="613" customWidth="1"/>
    <col min="11297" max="11297" width="1.28515625" style="613" customWidth="1"/>
    <col min="11298" max="11298" width="1.140625" style="613" customWidth="1"/>
    <col min="11299" max="11299" width="2.7109375" style="613" customWidth="1"/>
    <col min="11300" max="11301" width="1.28515625" style="613" customWidth="1"/>
    <col min="11302" max="11302" width="3.42578125" style="613" customWidth="1"/>
    <col min="11303" max="11303" width="2.7109375" style="613" customWidth="1"/>
    <col min="11304" max="11304" width="6.7109375" style="613" customWidth="1"/>
    <col min="11305" max="11305" width="4.28515625" style="613" customWidth="1"/>
    <col min="11306" max="11306" width="3.7109375" style="613" customWidth="1"/>
    <col min="11307" max="11307" width="5.42578125" style="613" customWidth="1"/>
    <col min="11308" max="11308" width="2.7109375" style="613" customWidth="1"/>
    <col min="11309" max="11309" width="4.42578125" style="613" customWidth="1"/>
    <col min="11310" max="11325" width="2.7109375" style="613" customWidth="1"/>
    <col min="11326" max="11527" width="11.42578125" style="613"/>
    <col min="11528" max="11528" width="3.5703125" style="613" customWidth="1"/>
    <col min="11529" max="11529" width="2.7109375" style="613" customWidth="1"/>
    <col min="11530" max="11530" width="1" style="613" customWidth="1"/>
    <col min="11531" max="11531" width="4.28515625" style="613" customWidth="1"/>
    <col min="11532" max="11538" width="2.7109375" style="613" customWidth="1"/>
    <col min="11539" max="11539" width="1.5703125" style="613" customWidth="1"/>
    <col min="11540" max="11542" width="2.7109375" style="613" customWidth="1"/>
    <col min="11543" max="11543" width="1.42578125" style="613" customWidth="1"/>
    <col min="11544" max="11544" width="1.85546875" style="613" customWidth="1"/>
    <col min="11545" max="11545" width="2.85546875" style="613" customWidth="1"/>
    <col min="11546" max="11547" width="2.7109375" style="613" customWidth="1"/>
    <col min="11548" max="11548" width="2.85546875" style="613" customWidth="1"/>
    <col min="11549" max="11550" width="3.140625" style="613" customWidth="1"/>
    <col min="11551" max="11551" width="2.28515625" style="613" customWidth="1"/>
    <col min="11552" max="11552" width="2.7109375" style="613" customWidth="1"/>
    <col min="11553" max="11553" width="1.28515625" style="613" customWidth="1"/>
    <col min="11554" max="11554" width="1.140625" style="613" customWidth="1"/>
    <col min="11555" max="11555" width="2.7109375" style="613" customWidth="1"/>
    <col min="11556" max="11557" width="1.28515625" style="613" customWidth="1"/>
    <col min="11558" max="11558" width="3.42578125" style="613" customWidth="1"/>
    <col min="11559" max="11559" width="2.7109375" style="613" customWidth="1"/>
    <col min="11560" max="11560" width="6.7109375" style="613" customWidth="1"/>
    <col min="11561" max="11561" width="4.28515625" style="613" customWidth="1"/>
    <col min="11562" max="11562" width="3.7109375" style="613" customWidth="1"/>
    <col min="11563" max="11563" width="5.42578125" style="613" customWidth="1"/>
    <col min="11564" max="11564" width="2.7109375" style="613" customWidth="1"/>
    <col min="11565" max="11565" width="4.42578125" style="613" customWidth="1"/>
    <col min="11566" max="11581" width="2.7109375" style="613" customWidth="1"/>
    <col min="11582" max="11783" width="11.42578125" style="613"/>
    <col min="11784" max="11784" width="3.5703125" style="613" customWidth="1"/>
    <col min="11785" max="11785" width="2.7109375" style="613" customWidth="1"/>
    <col min="11786" max="11786" width="1" style="613" customWidth="1"/>
    <col min="11787" max="11787" width="4.28515625" style="613" customWidth="1"/>
    <col min="11788" max="11794" width="2.7109375" style="613" customWidth="1"/>
    <col min="11795" max="11795" width="1.5703125" style="613" customWidth="1"/>
    <col min="11796" max="11798" width="2.7109375" style="613" customWidth="1"/>
    <col min="11799" max="11799" width="1.42578125" style="613" customWidth="1"/>
    <col min="11800" max="11800" width="1.85546875" style="613" customWidth="1"/>
    <col min="11801" max="11801" width="2.85546875" style="613" customWidth="1"/>
    <col min="11802" max="11803" width="2.7109375" style="613" customWidth="1"/>
    <col min="11804" max="11804" width="2.85546875" style="613" customWidth="1"/>
    <col min="11805" max="11806" width="3.140625" style="613" customWidth="1"/>
    <col min="11807" max="11807" width="2.28515625" style="613" customWidth="1"/>
    <col min="11808" max="11808" width="2.7109375" style="613" customWidth="1"/>
    <col min="11809" max="11809" width="1.28515625" style="613" customWidth="1"/>
    <col min="11810" max="11810" width="1.140625" style="613" customWidth="1"/>
    <col min="11811" max="11811" width="2.7109375" style="613" customWidth="1"/>
    <col min="11812" max="11813" width="1.28515625" style="613" customWidth="1"/>
    <col min="11814" max="11814" width="3.42578125" style="613" customWidth="1"/>
    <col min="11815" max="11815" width="2.7109375" style="613" customWidth="1"/>
    <col min="11816" max="11816" width="6.7109375" style="613" customWidth="1"/>
    <col min="11817" max="11817" width="4.28515625" style="613" customWidth="1"/>
    <col min="11818" max="11818" width="3.7109375" style="613" customWidth="1"/>
    <col min="11819" max="11819" width="5.42578125" style="613" customWidth="1"/>
    <col min="11820" max="11820" width="2.7109375" style="613" customWidth="1"/>
    <col min="11821" max="11821" width="4.42578125" style="613" customWidth="1"/>
    <col min="11822" max="11837" width="2.7109375" style="613" customWidth="1"/>
    <col min="11838" max="12039" width="11.42578125" style="613"/>
    <col min="12040" max="12040" width="3.5703125" style="613" customWidth="1"/>
    <col min="12041" max="12041" width="2.7109375" style="613" customWidth="1"/>
    <col min="12042" max="12042" width="1" style="613" customWidth="1"/>
    <col min="12043" max="12043" width="4.28515625" style="613" customWidth="1"/>
    <col min="12044" max="12050" width="2.7109375" style="613" customWidth="1"/>
    <col min="12051" max="12051" width="1.5703125" style="613" customWidth="1"/>
    <col min="12052" max="12054" width="2.7109375" style="613" customWidth="1"/>
    <col min="12055" max="12055" width="1.42578125" style="613" customWidth="1"/>
    <col min="12056" max="12056" width="1.85546875" style="613" customWidth="1"/>
    <col min="12057" max="12057" width="2.85546875" style="613" customWidth="1"/>
    <col min="12058" max="12059" width="2.7109375" style="613" customWidth="1"/>
    <col min="12060" max="12060" width="2.85546875" style="613" customWidth="1"/>
    <col min="12061" max="12062" width="3.140625" style="613" customWidth="1"/>
    <col min="12063" max="12063" width="2.28515625" style="613" customWidth="1"/>
    <col min="12064" max="12064" width="2.7109375" style="613" customWidth="1"/>
    <col min="12065" max="12065" width="1.28515625" style="613" customWidth="1"/>
    <col min="12066" max="12066" width="1.140625" style="613" customWidth="1"/>
    <col min="12067" max="12067" width="2.7109375" style="613" customWidth="1"/>
    <col min="12068" max="12069" width="1.28515625" style="613" customWidth="1"/>
    <col min="12070" max="12070" width="3.42578125" style="613" customWidth="1"/>
    <col min="12071" max="12071" width="2.7109375" style="613" customWidth="1"/>
    <col min="12072" max="12072" width="6.7109375" style="613" customWidth="1"/>
    <col min="12073" max="12073" width="4.28515625" style="613" customWidth="1"/>
    <col min="12074" max="12074" width="3.7109375" style="613" customWidth="1"/>
    <col min="12075" max="12075" width="5.42578125" style="613" customWidth="1"/>
    <col min="12076" max="12076" width="2.7109375" style="613" customWidth="1"/>
    <col min="12077" max="12077" width="4.42578125" style="613" customWidth="1"/>
    <col min="12078" max="12093" width="2.7109375" style="613" customWidth="1"/>
    <col min="12094" max="12295" width="11.42578125" style="613"/>
    <col min="12296" max="12296" width="3.5703125" style="613" customWidth="1"/>
    <col min="12297" max="12297" width="2.7109375" style="613" customWidth="1"/>
    <col min="12298" max="12298" width="1" style="613" customWidth="1"/>
    <col min="12299" max="12299" width="4.28515625" style="613" customWidth="1"/>
    <col min="12300" max="12306" width="2.7109375" style="613" customWidth="1"/>
    <col min="12307" max="12307" width="1.5703125" style="613" customWidth="1"/>
    <col min="12308" max="12310" width="2.7109375" style="613" customWidth="1"/>
    <col min="12311" max="12311" width="1.42578125" style="613" customWidth="1"/>
    <col min="12312" max="12312" width="1.85546875" style="613" customWidth="1"/>
    <col min="12313" max="12313" width="2.85546875" style="613" customWidth="1"/>
    <col min="12314" max="12315" width="2.7109375" style="613" customWidth="1"/>
    <col min="12316" max="12316" width="2.85546875" style="613" customWidth="1"/>
    <col min="12317" max="12318" width="3.140625" style="613" customWidth="1"/>
    <col min="12319" max="12319" width="2.28515625" style="613" customWidth="1"/>
    <col min="12320" max="12320" width="2.7109375" style="613" customWidth="1"/>
    <col min="12321" max="12321" width="1.28515625" style="613" customWidth="1"/>
    <col min="12322" max="12322" width="1.140625" style="613" customWidth="1"/>
    <col min="12323" max="12323" width="2.7109375" style="613" customWidth="1"/>
    <col min="12324" max="12325" width="1.28515625" style="613" customWidth="1"/>
    <col min="12326" max="12326" width="3.42578125" style="613" customWidth="1"/>
    <col min="12327" max="12327" width="2.7109375" style="613" customWidth="1"/>
    <col min="12328" max="12328" width="6.7109375" style="613" customWidth="1"/>
    <col min="12329" max="12329" width="4.28515625" style="613" customWidth="1"/>
    <col min="12330" max="12330" width="3.7109375" style="613" customWidth="1"/>
    <col min="12331" max="12331" width="5.42578125" style="613" customWidth="1"/>
    <col min="12332" max="12332" width="2.7109375" style="613" customWidth="1"/>
    <col min="12333" max="12333" width="4.42578125" style="613" customWidth="1"/>
    <col min="12334" max="12349" width="2.7109375" style="613" customWidth="1"/>
    <col min="12350" max="12551" width="11.42578125" style="613"/>
    <col min="12552" max="12552" width="3.5703125" style="613" customWidth="1"/>
    <col min="12553" max="12553" width="2.7109375" style="613" customWidth="1"/>
    <col min="12554" max="12554" width="1" style="613" customWidth="1"/>
    <col min="12555" max="12555" width="4.28515625" style="613" customWidth="1"/>
    <col min="12556" max="12562" width="2.7109375" style="613" customWidth="1"/>
    <col min="12563" max="12563" width="1.5703125" style="613" customWidth="1"/>
    <col min="12564" max="12566" width="2.7109375" style="613" customWidth="1"/>
    <col min="12567" max="12567" width="1.42578125" style="613" customWidth="1"/>
    <col min="12568" max="12568" width="1.85546875" style="613" customWidth="1"/>
    <col min="12569" max="12569" width="2.85546875" style="613" customWidth="1"/>
    <col min="12570" max="12571" width="2.7109375" style="613" customWidth="1"/>
    <col min="12572" max="12572" width="2.85546875" style="613" customWidth="1"/>
    <col min="12573" max="12574" width="3.140625" style="613" customWidth="1"/>
    <col min="12575" max="12575" width="2.28515625" style="613" customWidth="1"/>
    <col min="12576" max="12576" width="2.7109375" style="613" customWidth="1"/>
    <col min="12577" max="12577" width="1.28515625" style="613" customWidth="1"/>
    <col min="12578" max="12578" width="1.140625" style="613" customWidth="1"/>
    <col min="12579" max="12579" width="2.7109375" style="613" customWidth="1"/>
    <col min="12580" max="12581" width="1.28515625" style="613" customWidth="1"/>
    <col min="12582" max="12582" width="3.42578125" style="613" customWidth="1"/>
    <col min="12583" max="12583" width="2.7109375" style="613" customWidth="1"/>
    <col min="12584" max="12584" width="6.7109375" style="613" customWidth="1"/>
    <col min="12585" max="12585" width="4.28515625" style="613" customWidth="1"/>
    <col min="12586" max="12586" width="3.7109375" style="613" customWidth="1"/>
    <col min="12587" max="12587" width="5.42578125" style="613" customWidth="1"/>
    <col min="12588" max="12588" width="2.7109375" style="613" customWidth="1"/>
    <col min="12589" max="12589" width="4.42578125" style="613" customWidth="1"/>
    <col min="12590" max="12605" width="2.7109375" style="613" customWidth="1"/>
    <col min="12606" max="12807" width="11.42578125" style="613"/>
    <col min="12808" max="12808" width="3.5703125" style="613" customWidth="1"/>
    <col min="12809" max="12809" width="2.7109375" style="613" customWidth="1"/>
    <col min="12810" max="12810" width="1" style="613" customWidth="1"/>
    <col min="12811" max="12811" width="4.28515625" style="613" customWidth="1"/>
    <col min="12812" max="12818" width="2.7109375" style="613" customWidth="1"/>
    <col min="12819" max="12819" width="1.5703125" style="613" customWidth="1"/>
    <col min="12820" max="12822" width="2.7109375" style="613" customWidth="1"/>
    <col min="12823" max="12823" width="1.42578125" style="613" customWidth="1"/>
    <col min="12824" max="12824" width="1.85546875" style="613" customWidth="1"/>
    <col min="12825" max="12825" width="2.85546875" style="613" customWidth="1"/>
    <col min="12826" max="12827" width="2.7109375" style="613" customWidth="1"/>
    <col min="12828" max="12828" width="2.85546875" style="613" customWidth="1"/>
    <col min="12829" max="12830" width="3.140625" style="613" customWidth="1"/>
    <col min="12831" max="12831" width="2.28515625" style="613" customWidth="1"/>
    <col min="12832" max="12832" width="2.7109375" style="613" customWidth="1"/>
    <col min="12833" max="12833" width="1.28515625" style="613" customWidth="1"/>
    <col min="12834" max="12834" width="1.140625" style="613" customWidth="1"/>
    <col min="12835" max="12835" width="2.7109375" style="613" customWidth="1"/>
    <col min="12836" max="12837" width="1.28515625" style="613" customWidth="1"/>
    <col min="12838" max="12838" width="3.42578125" style="613" customWidth="1"/>
    <col min="12839" max="12839" width="2.7109375" style="613" customWidth="1"/>
    <col min="12840" max="12840" width="6.7109375" style="613" customWidth="1"/>
    <col min="12841" max="12841" width="4.28515625" style="613" customWidth="1"/>
    <col min="12842" max="12842" width="3.7109375" style="613" customWidth="1"/>
    <col min="12843" max="12843" width="5.42578125" style="613" customWidth="1"/>
    <col min="12844" max="12844" width="2.7109375" style="613" customWidth="1"/>
    <col min="12845" max="12845" width="4.42578125" style="613" customWidth="1"/>
    <col min="12846" max="12861" width="2.7109375" style="613" customWidth="1"/>
    <col min="12862" max="13063" width="11.42578125" style="613"/>
    <col min="13064" max="13064" width="3.5703125" style="613" customWidth="1"/>
    <col min="13065" max="13065" width="2.7109375" style="613" customWidth="1"/>
    <col min="13066" max="13066" width="1" style="613" customWidth="1"/>
    <col min="13067" max="13067" width="4.28515625" style="613" customWidth="1"/>
    <col min="13068" max="13074" width="2.7109375" style="613" customWidth="1"/>
    <col min="13075" max="13075" width="1.5703125" style="613" customWidth="1"/>
    <col min="13076" max="13078" width="2.7109375" style="613" customWidth="1"/>
    <col min="13079" max="13079" width="1.42578125" style="613" customWidth="1"/>
    <col min="13080" max="13080" width="1.85546875" style="613" customWidth="1"/>
    <col min="13081" max="13081" width="2.85546875" style="613" customWidth="1"/>
    <col min="13082" max="13083" width="2.7109375" style="613" customWidth="1"/>
    <col min="13084" max="13084" width="2.85546875" style="613" customWidth="1"/>
    <col min="13085" max="13086" width="3.140625" style="613" customWidth="1"/>
    <col min="13087" max="13087" width="2.28515625" style="613" customWidth="1"/>
    <col min="13088" max="13088" width="2.7109375" style="613" customWidth="1"/>
    <col min="13089" max="13089" width="1.28515625" style="613" customWidth="1"/>
    <col min="13090" max="13090" width="1.140625" style="613" customWidth="1"/>
    <col min="13091" max="13091" width="2.7109375" style="613" customWidth="1"/>
    <col min="13092" max="13093" width="1.28515625" style="613" customWidth="1"/>
    <col min="13094" max="13094" width="3.42578125" style="613" customWidth="1"/>
    <col min="13095" max="13095" width="2.7109375" style="613" customWidth="1"/>
    <col min="13096" max="13096" width="6.7109375" style="613" customWidth="1"/>
    <col min="13097" max="13097" width="4.28515625" style="613" customWidth="1"/>
    <col min="13098" max="13098" width="3.7109375" style="613" customWidth="1"/>
    <col min="13099" max="13099" width="5.42578125" style="613" customWidth="1"/>
    <col min="13100" max="13100" width="2.7109375" style="613" customWidth="1"/>
    <col min="13101" max="13101" width="4.42578125" style="613" customWidth="1"/>
    <col min="13102" max="13117" width="2.7109375" style="613" customWidth="1"/>
    <col min="13118" max="13319" width="11.42578125" style="613"/>
    <col min="13320" max="13320" width="3.5703125" style="613" customWidth="1"/>
    <col min="13321" max="13321" width="2.7109375" style="613" customWidth="1"/>
    <col min="13322" max="13322" width="1" style="613" customWidth="1"/>
    <col min="13323" max="13323" width="4.28515625" style="613" customWidth="1"/>
    <col min="13324" max="13330" width="2.7109375" style="613" customWidth="1"/>
    <col min="13331" max="13331" width="1.5703125" style="613" customWidth="1"/>
    <col min="13332" max="13334" width="2.7109375" style="613" customWidth="1"/>
    <col min="13335" max="13335" width="1.42578125" style="613" customWidth="1"/>
    <col min="13336" max="13336" width="1.85546875" style="613" customWidth="1"/>
    <col min="13337" max="13337" width="2.85546875" style="613" customWidth="1"/>
    <col min="13338" max="13339" width="2.7109375" style="613" customWidth="1"/>
    <col min="13340" max="13340" width="2.85546875" style="613" customWidth="1"/>
    <col min="13341" max="13342" width="3.140625" style="613" customWidth="1"/>
    <col min="13343" max="13343" width="2.28515625" style="613" customWidth="1"/>
    <col min="13344" max="13344" width="2.7109375" style="613" customWidth="1"/>
    <col min="13345" max="13345" width="1.28515625" style="613" customWidth="1"/>
    <col min="13346" max="13346" width="1.140625" style="613" customWidth="1"/>
    <col min="13347" max="13347" width="2.7109375" style="613" customWidth="1"/>
    <col min="13348" max="13349" width="1.28515625" style="613" customWidth="1"/>
    <col min="13350" max="13350" width="3.42578125" style="613" customWidth="1"/>
    <col min="13351" max="13351" width="2.7109375" style="613" customWidth="1"/>
    <col min="13352" max="13352" width="6.7109375" style="613" customWidth="1"/>
    <col min="13353" max="13353" width="4.28515625" style="613" customWidth="1"/>
    <col min="13354" max="13354" width="3.7109375" style="613" customWidth="1"/>
    <col min="13355" max="13355" width="5.42578125" style="613" customWidth="1"/>
    <col min="13356" max="13356" width="2.7109375" style="613" customWidth="1"/>
    <col min="13357" max="13357" width="4.42578125" style="613" customWidth="1"/>
    <col min="13358" max="13373" width="2.7109375" style="613" customWidth="1"/>
    <col min="13374" max="13575" width="11.42578125" style="613"/>
    <col min="13576" max="13576" width="3.5703125" style="613" customWidth="1"/>
    <col min="13577" max="13577" width="2.7109375" style="613" customWidth="1"/>
    <col min="13578" max="13578" width="1" style="613" customWidth="1"/>
    <col min="13579" max="13579" width="4.28515625" style="613" customWidth="1"/>
    <col min="13580" max="13586" width="2.7109375" style="613" customWidth="1"/>
    <col min="13587" max="13587" width="1.5703125" style="613" customWidth="1"/>
    <col min="13588" max="13590" width="2.7109375" style="613" customWidth="1"/>
    <col min="13591" max="13591" width="1.42578125" style="613" customWidth="1"/>
    <col min="13592" max="13592" width="1.85546875" style="613" customWidth="1"/>
    <col min="13593" max="13593" width="2.85546875" style="613" customWidth="1"/>
    <col min="13594" max="13595" width="2.7109375" style="613" customWidth="1"/>
    <col min="13596" max="13596" width="2.85546875" style="613" customWidth="1"/>
    <col min="13597" max="13598" width="3.140625" style="613" customWidth="1"/>
    <col min="13599" max="13599" width="2.28515625" style="613" customWidth="1"/>
    <col min="13600" max="13600" width="2.7109375" style="613" customWidth="1"/>
    <col min="13601" max="13601" width="1.28515625" style="613" customWidth="1"/>
    <col min="13602" max="13602" width="1.140625" style="613" customWidth="1"/>
    <col min="13603" max="13603" width="2.7109375" style="613" customWidth="1"/>
    <col min="13604" max="13605" width="1.28515625" style="613" customWidth="1"/>
    <col min="13606" max="13606" width="3.42578125" style="613" customWidth="1"/>
    <col min="13607" max="13607" width="2.7109375" style="613" customWidth="1"/>
    <col min="13608" max="13608" width="6.7109375" style="613" customWidth="1"/>
    <col min="13609" max="13609" width="4.28515625" style="613" customWidth="1"/>
    <col min="13610" max="13610" width="3.7109375" style="613" customWidth="1"/>
    <col min="13611" max="13611" width="5.42578125" style="613" customWidth="1"/>
    <col min="13612" max="13612" width="2.7109375" style="613" customWidth="1"/>
    <col min="13613" max="13613" width="4.42578125" style="613" customWidth="1"/>
    <col min="13614" max="13629" width="2.7109375" style="613" customWidth="1"/>
    <col min="13630" max="13831" width="11.42578125" style="613"/>
    <col min="13832" max="13832" width="3.5703125" style="613" customWidth="1"/>
    <col min="13833" max="13833" width="2.7109375" style="613" customWidth="1"/>
    <col min="13834" max="13834" width="1" style="613" customWidth="1"/>
    <col min="13835" max="13835" width="4.28515625" style="613" customWidth="1"/>
    <col min="13836" max="13842" width="2.7109375" style="613" customWidth="1"/>
    <col min="13843" max="13843" width="1.5703125" style="613" customWidth="1"/>
    <col min="13844" max="13846" width="2.7109375" style="613" customWidth="1"/>
    <col min="13847" max="13847" width="1.42578125" style="613" customWidth="1"/>
    <col min="13848" max="13848" width="1.85546875" style="613" customWidth="1"/>
    <col min="13849" max="13849" width="2.85546875" style="613" customWidth="1"/>
    <col min="13850" max="13851" width="2.7109375" style="613" customWidth="1"/>
    <col min="13852" max="13852" width="2.85546875" style="613" customWidth="1"/>
    <col min="13853" max="13854" width="3.140625" style="613" customWidth="1"/>
    <col min="13855" max="13855" width="2.28515625" style="613" customWidth="1"/>
    <col min="13856" max="13856" width="2.7109375" style="613" customWidth="1"/>
    <col min="13857" max="13857" width="1.28515625" style="613" customWidth="1"/>
    <col min="13858" max="13858" width="1.140625" style="613" customWidth="1"/>
    <col min="13859" max="13859" width="2.7109375" style="613" customWidth="1"/>
    <col min="13860" max="13861" width="1.28515625" style="613" customWidth="1"/>
    <col min="13862" max="13862" width="3.42578125" style="613" customWidth="1"/>
    <col min="13863" max="13863" width="2.7109375" style="613" customWidth="1"/>
    <col min="13864" max="13864" width="6.7109375" style="613" customWidth="1"/>
    <col min="13865" max="13865" width="4.28515625" style="613" customWidth="1"/>
    <col min="13866" max="13866" width="3.7109375" style="613" customWidth="1"/>
    <col min="13867" max="13867" width="5.42578125" style="613" customWidth="1"/>
    <col min="13868" max="13868" width="2.7109375" style="613" customWidth="1"/>
    <col min="13869" max="13869" width="4.42578125" style="613" customWidth="1"/>
    <col min="13870" max="13885" width="2.7109375" style="613" customWidth="1"/>
    <col min="13886" max="14087" width="11.42578125" style="613"/>
    <col min="14088" max="14088" width="3.5703125" style="613" customWidth="1"/>
    <col min="14089" max="14089" width="2.7109375" style="613" customWidth="1"/>
    <col min="14090" max="14090" width="1" style="613" customWidth="1"/>
    <col min="14091" max="14091" width="4.28515625" style="613" customWidth="1"/>
    <col min="14092" max="14098" width="2.7109375" style="613" customWidth="1"/>
    <col min="14099" max="14099" width="1.5703125" style="613" customWidth="1"/>
    <col min="14100" max="14102" width="2.7109375" style="613" customWidth="1"/>
    <col min="14103" max="14103" width="1.42578125" style="613" customWidth="1"/>
    <col min="14104" max="14104" width="1.85546875" style="613" customWidth="1"/>
    <col min="14105" max="14105" width="2.85546875" style="613" customWidth="1"/>
    <col min="14106" max="14107" width="2.7109375" style="613" customWidth="1"/>
    <col min="14108" max="14108" width="2.85546875" style="613" customWidth="1"/>
    <col min="14109" max="14110" width="3.140625" style="613" customWidth="1"/>
    <col min="14111" max="14111" width="2.28515625" style="613" customWidth="1"/>
    <col min="14112" max="14112" width="2.7109375" style="613" customWidth="1"/>
    <col min="14113" max="14113" width="1.28515625" style="613" customWidth="1"/>
    <col min="14114" max="14114" width="1.140625" style="613" customWidth="1"/>
    <col min="14115" max="14115" width="2.7109375" style="613" customWidth="1"/>
    <col min="14116" max="14117" width="1.28515625" style="613" customWidth="1"/>
    <col min="14118" max="14118" width="3.42578125" style="613" customWidth="1"/>
    <col min="14119" max="14119" width="2.7109375" style="613" customWidth="1"/>
    <col min="14120" max="14120" width="6.7109375" style="613" customWidth="1"/>
    <col min="14121" max="14121" width="4.28515625" style="613" customWidth="1"/>
    <col min="14122" max="14122" width="3.7109375" style="613" customWidth="1"/>
    <col min="14123" max="14123" width="5.42578125" style="613" customWidth="1"/>
    <col min="14124" max="14124" width="2.7109375" style="613" customWidth="1"/>
    <col min="14125" max="14125" width="4.42578125" style="613" customWidth="1"/>
    <col min="14126" max="14141" width="2.7109375" style="613" customWidth="1"/>
    <col min="14142" max="14343" width="11.42578125" style="613"/>
    <col min="14344" max="14344" width="3.5703125" style="613" customWidth="1"/>
    <col min="14345" max="14345" width="2.7109375" style="613" customWidth="1"/>
    <col min="14346" max="14346" width="1" style="613" customWidth="1"/>
    <col min="14347" max="14347" width="4.28515625" style="613" customWidth="1"/>
    <col min="14348" max="14354" width="2.7109375" style="613" customWidth="1"/>
    <col min="14355" max="14355" width="1.5703125" style="613" customWidth="1"/>
    <col min="14356" max="14358" width="2.7109375" style="613" customWidth="1"/>
    <col min="14359" max="14359" width="1.42578125" style="613" customWidth="1"/>
    <col min="14360" max="14360" width="1.85546875" style="613" customWidth="1"/>
    <col min="14361" max="14361" width="2.85546875" style="613" customWidth="1"/>
    <col min="14362" max="14363" width="2.7109375" style="613" customWidth="1"/>
    <col min="14364" max="14364" width="2.85546875" style="613" customWidth="1"/>
    <col min="14365" max="14366" width="3.140625" style="613" customWidth="1"/>
    <col min="14367" max="14367" width="2.28515625" style="613" customWidth="1"/>
    <col min="14368" max="14368" width="2.7109375" style="613" customWidth="1"/>
    <col min="14369" max="14369" width="1.28515625" style="613" customWidth="1"/>
    <col min="14370" max="14370" width="1.140625" style="613" customWidth="1"/>
    <col min="14371" max="14371" width="2.7109375" style="613" customWidth="1"/>
    <col min="14372" max="14373" width="1.28515625" style="613" customWidth="1"/>
    <col min="14374" max="14374" width="3.42578125" style="613" customWidth="1"/>
    <col min="14375" max="14375" width="2.7109375" style="613" customWidth="1"/>
    <col min="14376" max="14376" width="6.7109375" style="613" customWidth="1"/>
    <col min="14377" max="14377" width="4.28515625" style="613" customWidth="1"/>
    <col min="14378" max="14378" width="3.7109375" style="613" customWidth="1"/>
    <col min="14379" max="14379" width="5.42578125" style="613" customWidth="1"/>
    <col min="14380" max="14380" width="2.7109375" style="613" customWidth="1"/>
    <col min="14381" max="14381" width="4.42578125" style="613" customWidth="1"/>
    <col min="14382" max="14397" width="2.7109375" style="613" customWidth="1"/>
    <col min="14398" max="14599" width="11.42578125" style="613"/>
    <col min="14600" max="14600" width="3.5703125" style="613" customWidth="1"/>
    <col min="14601" max="14601" width="2.7109375" style="613" customWidth="1"/>
    <col min="14602" max="14602" width="1" style="613" customWidth="1"/>
    <col min="14603" max="14603" width="4.28515625" style="613" customWidth="1"/>
    <col min="14604" max="14610" width="2.7109375" style="613" customWidth="1"/>
    <col min="14611" max="14611" width="1.5703125" style="613" customWidth="1"/>
    <col min="14612" max="14614" width="2.7109375" style="613" customWidth="1"/>
    <col min="14615" max="14615" width="1.42578125" style="613" customWidth="1"/>
    <col min="14616" max="14616" width="1.85546875" style="613" customWidth="1"/>
    <col min="14617" max="14617" width="2.85546875" style="613" customWidth="1"/>
    <col min="14618" max="14619" width="2.7109375" style="613" customWidth="1"/>
    <col min="14620" max="14620" width="2.85546875" style="613" customWidth="1"/>
    <col min="14621" max="14622" width="3.140625" style="613" customWidth="1"/>
    <col min="14623" max="14623" width="2.28515625" style="613" customWidth="1"/>
    <col min="14624" max="14624" width="2.7109375" style="613" customWidth="1"/>
    <col min="14625" max="14625" width="1.28515625" style="613" customWidth="1"/>
    <col min="14626" max="14626" width="1.140625" style="613" customWidth="1"/>
    <col min="14627" max="14627" width="2.7109375" style="613" customWidth="1"/>
    <col min="14628" max="14629" width="1.28515625" style="613" customWidth="1"/>
    <col min="14630" max="14630" width="3.42578125" style="613" customWidth="1"/>
    <col min="14631" max="14631" width="2.7109375" style="613" customWidth="1"/>
    <col min="14632" max="14632" width="6.7109375" style="613" customWidth="1"/>
    <col min="14633" max="14633" width="4.28515625" style="613" customWidth="1"/>
    <col min="14634" max="14634" width="3.7109375" style="613" customWidth="1"/>
    <col min="14635" max="14635" width="5.42578125" style="613" customWidth="1"/>
    <col min="14636" max="14636" width="2.7109375" style="613" customWidth="1"/>
    <col min="14637" max="14637" width="4.42578125" style="613" customWidth="1"/>
    <col min="14638" max="14653" width="2.7109375" style="613" customWidth="1"/>
    <col min="14654" max="14855" width="11.42578125" style="613"/>
    <col min="14856" max="14856" width="3.5703125" style="613" customWidth="1"/>
    <col min="14857" max="14857" width="2.7109375" style="613" customWidth="1"/>
    <col min="14858" max="14858" width="1" style="613" customWidth="1"/>
    <col min="14859" max="14859" width="4.28515625" style="613" customWidth="1"/>
    <col min="14860" max="14866" width="2.7109375" style="613" customWidth="1"/>
    <col min="14867" max="14867" width="1.5703125" style="613" customWidth="1"/>
    <col min="14868" max="14870" width="2.7109375" style="613" customWidth="1"/>
    <col min="14871" max="14871" width="1.42578125" style="613" customWidth="1"/>
    <col min="14872" max="14872" width="1.85546875" style="613" customWidth="1"/>
    <col min="14873" max="14873" width="2.85546875" style="613" customWidth="1"/>
    <col min="14874" max="14875" width="2.7109375" style="613" customWidth="1"/>
    <col min="14876" max="14876" width="2.85546875" style="613" customWidth="1"/>
    <col min="14877" max="14878" width="3.140625" style="613" customWidth="1"/>
    <col min="14879" max="14879" width="2.28515625" style="613" customWidth="1"/>
    <col min="14880" max="14880" width="2.7109375" style="613" customWidth="1"/>
    <col min="14881" max="14881" width="1.28515625" style="613" customWidth="1"/>
    <col min="14882" max="14882" width="1.140625" style="613" customWidth="1"/>
    <col min="14883" max="14883" width="2.7109375" style="613" customWidth="1"/>
    <col min="14884" max="14885" width="1.28515625" style="613" customWidth="1"/>
    <col min="14886" max="14886" width="3.42578125" style="613" customWidth="1"/>
    <col min="14887" max="14887" width="2.7109375" style="613" customWidth="1"/>
    <col min="14888" max="14888" width="6.7109375" style="613" customWidth="1"/>
    <col min="14889" max="14889" width="4.28515625" style="613" customWidth="1"/>
    <col min="14890" max="14890" width="3.7109375" style="613" customWidth="1"/>
    <col min="14891" max="14891" width="5.42578125" style="613" customWidth="1"/>
    <col min="14892" max="14892" width="2.7109375" style="613" customWidth="1"/>
    <col min="14893" max="14893" width="4.42578125" style="613" customWidth="1"/>
    <col min="14894" max="14909" width="2.7109375" style="613" customWidth="1"/>
    <col min="14910" max="15111" width="11.42578125" style="613"/>
    <col min="15112" max="15112" width="3.5703125" style="613" customWidth="1"/>
    <col min="15113" max="15113" width="2.7109375" style="613" customWidth="1"/>
    <col min="15114" max="15114" width="1" style="613" customWidth="1"/>
    <col min="15115" max="15115" width="4.28515625" style="613" customWidth="1"/>
    <col min="15116" max="15122" width="2.7109375" style="613" customWidth="1"/>
    <col min="15123" max="15123" width="1.5703125" style="613" customWidth="1"/>
    <col min="15124" max="15126" width="2.7109375" style="613" customWidth="1"/>
    <col min="15127" max="15127" width="1.42578125" style="613" customWidth="1"/>
    <col min="15128" max="15128" width="1.85546875" style="613" customWidth="1"/>
    <col min="15129" max="15129" width="2.85546875" style="613" customWidth="1"/>
    <col min="15130" max="15131" width="2.7109375" style="613" customWidth="1"/>
    <col min="15132" max="15132" width="2.85546875" style="613" customWidth="1"/>
    <col min="15133" max="15134" width="3.140625" style="613" customWidth="1"/>
    <col min="15135" max="15135" width="2.28515625" style="613" customWidth="1"/>
    <col min="15136" max="15136" width="2.7109375" style="613" customWidth="1"/>
    <col min="15137" max="15137" width="1.28515625" style="613" customWidth="1"/>
    <col min="15138" max="15138" width="1.140625" style="613" customWidth="1"/>
    <col min="15139" max="15139" width="2.7109375" style="613" customWidth="1"/>
    <col min="15140" max="15141" width="1.28515625" style="613" customWidth="1"/>
    <col min="15142" max="15142" width="3.42578125" style="613" customWidth="1"/>
    <col min="15143" max="15143" width="2.7109375" style="613" customWidth="1"/>
    <col min="15144" max="15144" width="6.7109375" style="613" customWidth="1"/>
    <col min="15145" max="15145" width="4.28515625" style="613" customWidth="1"/>
    <col min="15146" max="15146" width="3.7109375" style="613" customWidth="1"/>
    <col min="15147" max="15147" width="5.42578125" style="613" customWidth="1"/>
    <col min="15148" max="15148" width="2.7109375" style="613" customWidth="1"/>
    <col min="15149" max="15149" width="4.42578125" style="613" customWidth="1"/>
    <col min="15150" max="15165" width="2.7109375" style="613" customWidth="1"/>
    <col min="15166" max="15367" width="11.42578125" style="613"/>
    <col min="15368" max="15368" width="3.5703125" style="613" customWidth="1"/>
    <col min="15369" max="15369" width="2.7109375" style="613" customWidth="1"/>
    <col min="15370" max="15370" width="1" style="613" customWidth="1"/>
    <col min="15371" max="15371" width="4.28515625" style="613" customWidth="1"/>
    <col min="15372" max="15378" width="2.7109375" style="613" customWidth="1"/>
    <col min="15379" max="15379" width="1.5703125" style="613" customWidth="1"/>
    <col min="15380" max="15382" width="2.7109375" style="613" customWidth="1"/>
    <col min="15383" max="15383" width="1.42578125" style="613" customWidth="1"/>
    <col min="15384" max="15384" width="1.85546875" style="613" customWidth="1"/>
    <col min="15385" max="15385" width="2.85546875" style="613" customWidth="1"/>
    <col min="15386" max="15387" width="2.7109375" style="613" customWidth="1"/>
    <col min="15388" max="15388" width="2.85546875" style="613" customWidth="1"/>
    <col min="15389" max="15390" width="3.140625" style="613" customWidth="1"/>
    <col min="15391" max="15391" width="2.28515625" style="613" customWidth="1"/>
    <col min="15392" max="15392" width="2.7109375" style="613" customWidth="1"/>
    <col min="15393" max="15393" width="1.28515625" style="613" customWidth="1"/>
    <col min="15394" max="15394" width="1.140625" style="613" customWidth="1"/>
    <col min="15395" max="15395" width="2.7109375" style="613" customWidth="1"/>
    <col min="15396" max="15397" width="1.28515625" style="613" customWidth="1"/>
    <col min="15398" max="15398" width="3.42578125" style="613" customWidth="1"/>
    <col min="15399" max="15399" width="2.7109375" style="613" customWidth="1"/>
    <col min="15400" max="15400" width="6.7109375" style="613" customWidth="1"/>
    <col min="15401" max="15401" width="4.28515625" style="613" customWidth="1"/>
    <col min="15402" max="15402" width="3.7109375" style="613" customWidth="1"/>
    <col min="15403" max="15403" width="5.42578125" style="613" customWidth="1"/>
    <col min="15404" max="15404" width="2.7109375" style="613" customWidth="1"/>
    <col min="15405" max="15405" width="4.42578125" style="613" customWidth="1"/>
    <col min="15406" max="15421" width="2.7109375" style="613" customWidth="1"/>
    <col min="15422" max="15623" width="11.42578125" style="613"/>
    <col min="15624" max="15624" width="3.5703125" style="613" customWidth="1"/>
    <col min="15625" max="15625" width="2.7109375" style="613" customWidth="1"/>
    <col min="15626" max="15626" width="1" style="613" customWidth="1"/>
    <col min="15627" max="15627" width="4.28515625" style="613" customWidth="1"/>
    <col min="15628" max="15634" width="2.7109375" style="613" customWidth="1"/>
    <col min="15635" max="15635" width="1.5703125" style="613" customWidth="1"/>
    <col min="15636" max="15638" width="2.7109375" style="613" customWidth="1"/>
    <col min="15639" max="15639" width="1.42578125" style="613" customWidth="1"/>
    <col min="15640" max="15640" width="1.85546875" style="613" customWidth="1"/>
    <col min="15641" max="15641" width="2.85546875" style="613" customWidth="1"/>
    <col min="15642" max="15643" width="2.7109375" style="613" customWidth="1"/>
    <col min="15644" max="15644" width="2.85546875" style="613" customWidth="1"/>
    <col min="15645" max="15646" width="3.140625" style="613" customWidth="1"/>
    <col min="15647" max="15647" width="2.28515625" style="613" customWidth="1"/>
    <col min="15648" max="15648" width="2.7109375" style="613" customWidth="1"/>
    <col min="15649" max="15649" width="1.28515625" style="613" customWidth="1"/>
    <col min="15650" max="15650" width="1.140625" style="613" customWidth="1"/>
    <col min="15651" max="15651" width="2.7109375" style="613" customWidth="1"/>
    <col min="15652" max="15653" width="1.28515625" style="613" customWidth="1"/>
    <col min="15654" max="15654" width="3.42578125" style="613" customWidth="1"/>
    <col min="15655" max="15655" width="2.7109375" style="613" customWidth="1"/>
    <col min="15656" max="15656" width="6.7109375" style="613" customWidth="1"/>
    <col min="15657" max="15657" width="4.28515625" style="613" customWidth="1"/>
    <col min="15658" max="15658" width="3.7109375" style="613" customWidth="1"/>
    <col min="15659" max="15659" width="5.42578125" style="613" customWidth="1"/>
    <col min="15660" max="15660" width="2.7109375" style="613" customWidth="1"/>
    <col min="15661" max="15661" width="4.42578125" style="613" customWidth="1"/>
    <col min="15662" max="15677" width="2.7109375" style="613" customWidth="1"/>
    <col min="15678" max="15879" width="11.42578125" style="613"/>
    <col min="15880" max="15880" width="3.5703125" style="613" customWidth="1"/>
    <col min="15881" max="15881" width="2.7109375" style="613" customWidth="1"/>
    <col min="15882" max="15882" width="1" style="613" customWidth="1"/>
    <col min="15883" max="15883" width="4.28515625" style="613" customWidth="1"/>
    <col min="15884" max="15890" width="2.7109375" style="613" customWidth="1"/>
    <col min="15891" max="15891" width="1.5703125" style="613" customWidth="1"/>
    <col min="15892" max="15894" width="2.7109375" style="613" customWidth="1"/>
    <col min="15895" max="15895" width="1.42578125" style="613" customWidth="1"/>
    <col min="15896" max="15896" width="1.85546875" style="613" customWidth="1"/>
    <col min="15897" max="15897" width="2.85546875" style="613" customWidth="1"/>
    <col min="15898" max="15899" width="2.7109375" style="613" customWidth="1"/>
    <col min="15900" max="15900" width="2.85546875" style="613" customWidth="1"/>
    <col min="15901" max="15902" width="3.140625" style="613" customWidth="1"/>
    <col min="15903" max="15903" width="2.28515625" style="613" customWidth="1"/>
    <col min="15904" max="15904" width="2.7109375" style="613" customWidth="1"/>
    <col min="15905" max="15905" width="1.28515625" style="613" customWidth="1"/>
    <col min="15906" max="15906" width="1.140625" style="613" customWidth="1"/>
    <col min="15907" max="15907" width="2.7109375" style="613" customWidth="1"/>
    <col min="15908" max="15909" width="1.28515625" style="613" customWidth="1"/>
    <col min="15910" max="15910" width="3.42578125" style="613" customWidth="1"/>
    <col min="15911" max="15911" width="2.7109375" style="613" customWidth="1"/>
    <col min="15912" max="15912" width="6.7109375" style="613" customWidth="1"/>
    <col min="15913" max="15913" width="4.28515625" style="613" customWidth="1"/>
    <col min="15914" max="15914" width="3.7109375" style="613" customWidth="1"/>
    <col min="15915" max="15915" width="5.42578125" style="613" customWidth="1"/>
    <col min="15916" max="15916" width="2.7109375" style="613" customWidth="1"/>
    <col min="15917" max="15917" width="4.42578125" style="613" customWidth="1"/>
    <col min="15918" max="15933" width="2.7109375" style="613" customWidth="1"/>
    <col min="15934" max="16135" width="11.42578125" style="613"/>
    <col min="16136" max="16136" width="3.5703125" style="613" customWidth="1"/>
    <col min="16137" max="16137" width="2.7109375" style="613" customWidth="1"/>
    <col min="16138" max="16138" width="1" style="613" customWidth="1"/>
    <col min="16139" max="16139" width="4.28515625" style="613" customWidth="1"/>
    <col min="16140" max="16146" width="2.7109375" style="613" customWidth="1"/>
    <col min="16147" max="16147" width="1.5703125" style="613" customWidth="1"/>
    <col min="16148" max="16150" width="2.7109375" style="613" customWidth="1"/>
    <col min="16151" max="16151" width="1.42578125" style="613" customWidth="1"/>
    <col min="16152" max="16152" width="1.85546875" style="613" customWidth="1"/>
    <col min="16153" max="16153" width="2.85546875" style="613" customWidth="1"/>
    <col min="16154" max="16155" width="2.7109375" style="613" customWidth="1"/>
    <col min="16156" max="16156" width="2.85546875" style="613" customWidth="1"/>
    <col min="16157" max="16158" width="3.140625" style="613" customWidth="1"/>
    <col min="16159" max="16159" width="2.28515625" style="613" customWidth="1"/>
    <col min="16160" max="16160" width="2.7109375" style="613" customWidth="1"/>
    <col min="16161" max="16161" width="1.28515625" style="613" customWidth="1"/>
    <col min="16162" max="16162" width="1.140625" style="613" customWidth="1"/>
    <col min="16163" max="16163" width="2.7109375" style="613" customWidth="1"/>
    <col min="16164" max="16165" width="1.28515625" style="613" customWidth="1"/>
    <col min="16166" max="16166" width="3.42578125" style="613" customWidth="1"/>
    <col min="16167" max="16167" width="2.7109375" style="613" customWidth="1"/>
    <col min="16168" max="16168" width="6.7109375" style="613" customWidth="1"/>
    <col min="16169" max="16169" width="4.28515625" style="613" customWidth="1"/>
    <col min="16170" max="16170" width="3.7109375" style="613" customWidth="1"/>
    <col min="16171" max="16171" width="5.42578125" style="613" customWidth="1"/>
    <col min="16172" max="16172" width="2.7109375" style="613" customWidth="1"/>
    <col min="16173" max="16173" width="4.42578125" style="613" customWidth="1"/>
    <col min="16174" max="16189" width="2.7109375" style="613" customWidth="1"/>
    <col min="16190" max="16384" width="11.42578125" style="613"/>
  </cols>
  <sheetData>
    <row r="4" spans="1:44" ht="15.75" thickBot="1"/>
    <row r="5" spans="1:44" s="638" customFormat="1" ht="14.25" customHeight="1">
      <c r="B5" s="688" t="s">
        <v>1589</v>
      </c>
      <c r="C5" s="687"/>
      <c r="D5" s="687"/>
      <c r="E5" s="687"/>
      <c r="F5" s="687"/>
      <c r="G5" s="687"/>
      <c r="H5" s="687"/>
      <c r="I5" s="686"/>
      <c r="J5" s="686"/>
      <c r="K5" s="686"/>
      <c r="L5" s="686"/>
      <c r="M5" s="686"/>
      <c r="N5" s="686"/>
      <c r="O5" s="686"/>
      <c r="P5" s="686"/>
      <c r="Q5" s="686"/>
      <c r="R5" s="686"/>
      <c r="S5" s="1246"/>
      <c r="T5" s="1247"/>
      <c r="U5" s="1247"/>
      <c r="V5" s="1247"/>
      <c r="W5" s="1247"/>
      <c r="X5" s="1247"/>
      <c r="Y5" s="1247"/>
      <c r="Z5" s="1247"/>
      <c r="AA5" s="1247"/>
      <c r="AB5" s="1247"/>
      <c r="AC5" s="1247"/>
      <c r="AD5" s="1247"/>
      <c r="AE5" s="1247"/>
      <c r="AF5" s="1247"/>
      <c r="AG5" s="1247"/>
      <c r="AH5" s="1247"/>
      <c r="AI5" s="1247"/>
      <c r="AJ5" s="1247"/>
      <c r="AK5" s="1247"/>
      <c r="AL5" s="1247"/>
      <c r="AM5" s="1247"/>
      <c r="AN5" s="1247"/>
      <c r="AO5" s="1247"/>
      <c r="AP5" s="1247"/>
      <c r="AQ5" s="1247"/>
      <c r="AR5" s="1248"/>
    </row>
    <row r="6" spans="1:44" s="638" customFormat="1" ht="14.25">
      <c r="B6" s="1249" t="str">
        <f>_soNom</f>
        <v>Cecotra</v>
      </c>
      <c r="C6" s="1242"/>
      <c r="D6" s="1242"/>
      <c r="E6" s="1242"/>
      <c r="F6" s="1242"/>
      <c r="G6" s="1242"/>
      <c r="H6" s="1242"/>
      <c r="I6" s="1242"/>
      <c r="J6" s="1242"/>
      <c r="K6" s="1242"/>
      <c r="L6" s="1242"/>
      <c r="M6" s="1242"/>
      <c r="N6" s="1242"/>
      <c r="O6" s="1242"/>
      <c r="P6" s="1242"/>
      <c r="Q6" s="1242"/>
      <c r="R6" s="1242"/>
      <c r="S6" s="1242"/>
      <c r="T6" s="1242"/>
      <c r="U6" s="1242"/>
      <c r="V6" s="1242"/>
      <c r="W6" s="1242"/>
      <c r="X6" s="1242"/>
      <c r="Y6" s="1242"/>
      <c r="Z6" s="1242"/>
      <c r="AA6" s="1242"/>
      <c r="AB6" s="1242"/>
      <c r="AC6" s="1250" t="s">
        <v>1588</v>
      </c>
      <c r="AD6" s="1250"/>
      <c r="AE6" s="1250"/>
      <c r="AF6" s="1250"/>
      <c r="AG6" s="1250"/>
      <c r="AH6" s="685"/>
      <c r="AI6" s="1251"/>
      <c r="AJ6" s="1251"/>
      <c r="AK6" s="1251"/>
      <c r="AL6" s="1251"/>
      <c r="AM6" s="1251"/>
      <c r="AN6" s="1251"/>
      <c r="AO6" s="1251"/>
      <c r="AP6" s="1251"/>
      <c r="AQ6" s="1251"/>
      <c r="AR6" s="1252"/>
    </row>
    <row r="7" spans="1:44" s="638" customFormat="1" ht="14.25" customHeight="1">
      <c r="B7" s="1260" t="s">
        <v>1587</v>
      </c>
      <c r="C7" s="1213"/>
      <c r="D7" s="1213"/>
      <c r="E7" s="1213"/>
      <c r="F7" s="1213"/>
      <c r="G7" s="1213"/>
      <c r="H7" s="677"/>
      <c r="I7" s="684"/>
      <c r="J7" s="684"/>
      <c r="K7" s="684"/>
      <c r="L7" s="633"/>
      <c r="M7" s="684"/>
      <c r="N7" s="684"/>
      <c r="O7" s="684"/>
      <c r="P7" s="684"/>
      <c r="Q7" s="684"/>
      <c r="R7" s="684"/>
      <c r="S7" s="684"/>
      <c r="T7" s="684"/>
      <c r="U7" s="684"/>
      <c r="V7" s="684"/>
      <c r="W7" s="684"/>
      <c r="X7" s="684"/>
      <c r="Y7" s="684"/>
      <c r="Z7" s="684"/>
      <c r="AA7" s="684"/>
      <c r="AB7" s="684"/>
      <c r="AC7" s="684"/>
      <c r="AD7" s="684"/>
      <c r="AE7" s="684"/>
      <c r="AF7" s="684"/>
      <c r="AG7" s="684"/>
      <c r="AH7" s="684"/>
      <c r="AI7" s="684"/>
      <c r="AJ7" s="684"/>
      <c r="AK7" s="684"/>
      <c r="AL7" s="684"/>
      <c r="AM7" s="684"/>
      <c r="AN7" s="684"/>
      <c r="AO7" s="684"/>
      <c r="AP7" s="684"/>
      <c r="AQ7" s="684"/>
      <c r="AR7" s="683"/>
    </row>
    <row r="8" spans="1:44" s="638" customFormat="1" ht="14.25" customHeight="1">
      <c r="A8" s="681"/>
      <c r="B8" s="682" t="s">
        <v>1586</v>
      </c>
      <c r="C8" s="677"/>
      <c r="D8" s="677"/>
      <c r="E8" s="677"/>
      <c r="F8" s="677"/>
      <c r="G8" s="680"/>
      <c r="H8" s="680"/>
      <c r="I8" s="680"/>
      <c r="J8" s="680"/>
      <c r="K8" s="1253" t="str">
        <f>_soId</f>
        <v> 3201810353457</v>
      </c>
      <c r="L8" s="1253"/>
      <c r="M8" s="1253"/>
      <c r="N8" s="1253"/>
      <c r="O8" s="1253"/>
      <c r="P8" s="1253"/>
      <c r="Q8" s="1253"/>
      <c r="R8" s="1253"/>
      <c r="S8" s="1253"/>
      <c r="T8" s="1253"/>
      <c r="U8" s="1149"/>
      <c r="V8" s="679"/>
      <c r="W8" s="1150" t="str">
        <f>_ExerClos</f>
        <v>Exercice clos le 31/12/2025</v>
      </c>
      <c r="X8" s="905"/>
      <c r="Y8" s="905"/>
      <c r="Z8" s="905"/>
      <c r="AA8" s="905"/>
      <c r="AB8" s="905"/>
      <c r="AC8" s="904"/>
      <c r="AD8" s="904"/>
      <c r="AE8" s="904"/>
      <c r="AF8" s="904"/>
      <c r="AG8" s="904"/>
      <c r="AH8" s="904"/>
      <c r="AI8" s="904"/>
      <c r="AJ8" s="904"/>
      <c r="AK8" s="904"/>
      <c r="AL8" s="904"/>
      <c r="AM8" s="633"/>
      <c r="AN8" s="903" t="str">
        <f>_Duree</f>
        <v>Durée (en mois) 12</v>
      </c>
      <c r="AO8" s="677"/>
      <c r="AP8" s="674"/>
      <c r="AQ8" s="1242"/>
      <c r="AR8" s="1243"/>
    </row>
    <row r="9" spans="1:44" s="638" customFormat="1" ht="14.25" customHeight="1">
      <c r="B9" s="682"/>
      <c r="C9" s="677"/>
      <c r="D9" s="677"/>
      <c r="E9" s="677"/>
      <c r="F9" s="677"/>
      <c r="G9" s="633"/>
      <c r="H9" s="633"/>
      <c r="I9" s="633"/>
      <c r="J9" s="633"/>
      <c r="K9" s="633"/>
      <c r="L9" s="633"/>
      <c r="M9" s="630"/>
      <c r="N9" s="676"/>
      <c r="O9" s="676"/>
      <c r="P9" s="676"/>
      <c r="Q9" s="676"/>
      <c r="R9" s="676"/>
      <c r="S9" s="676"/>
      <c r="T9" s="676"/>
      <c r="U9" s="676"/>
      <c r="V9" s="676"/>
      <c r="W9" s="678"/>
      <c r="X9" s="678"/>
      <c r="Y9" s="678"/>
      <c r="Z9" s="678"/>
      <c r="AA9" s="678"/>
      <c r="AB9" s="678"/>
      <c r="AC9" s="675"/>
      <c r="AD9" s="675"/>
      <c r="AE9" s="675"/>
      <c r="AF9" s="675"/>
      <c r="AG9" s="675"/>
      <c r="AH9" s="678"/>
      <c r="AI9" s="678"/>
      <c r="AJ9" s="678"/>
      <c r="AK9" s="678"/>
      <c r="AL9" s="678"/>
      <c r="AM9" s="678"/>
      <c r="AN9" s="678"/>
      <c r="AO9" s="678"/>
      <c r="AP9" s="674"/>
      <c r="AQ9" s="674"/>
      <c r="AR9" s="673"/>
    </row>
    <row r="10" spans="1:44" s="638" customFormat="1" ht="14.25" customHeight="1">
      <c r="B10" s="654" t="s">
        <v>219</v>
      </c>
      <c r="C10" s="618"/>
      <c r="D10" s="618"/>
      <c r="E10" s="618"/>
      <c r="F10" s="618"/>
      <c r="G10" s="669" t="s">
        <v>1585</v>
      </c>
      <c r="H10" s="669"/>
      <c r="I10" s="618"/>
      <c r="J10" s="618"/>
      <c r="K10" s="618"/>
      <c r="L10" s="618"/>
      <c r="M10" s="618"/>
      <c r="N10" s="618"/>
      <c r="O10" s="618"/>
      <c r="P10" s="618"/>
      <c r="Q10" s="618"/>
      <c r="R10" s="618"/>
      <c r="S10" s="618"/>
      <c r="T10" s="659"/>
      <c r="U10" s="659"/>
      <c r="V10" s="659"/>
      <c r="W10" s="678"/>
      <c r="X10" s="678"/>
      <c r="Y10" s="678"/>
      <c r="Z10" s="678" t="s">
        <v>1584</v>
      </c>
      <c r="AA10" s="678"/>
      <c r="AB10" s="1250" t="s">
        <v>1658</v>
      </c>
      <c r="AC10" s="1250"/>
      <c r="AD10" s="1250"/>
      <c r="AE10" s="1250"/>
      <c r="AF10" s="1250"/>
      <c r="AG10" s="1250"/>
      <c r="AH10" s="678"/>
      <c r="AI10" s="633"/>
      <c r="AJ10" s="678" t="s">
        <v>1583</v>
      </c>
      <c r="AK10" s="678"/>
      <c r="AL10" s="678"/>
      <c r="AM10" s="633"/>
      <c r="AN10" s="1151" t="s">
        <v>1659</v>
      </c>
      <c r="AO10" s="905"/>
      <c r="AP10" s="674"/>
      <c r="AQ10" s="674"/>
      <c r="AR10" s="673"/>
    </row>
    <row r="11" spans="1:44" s="638" customFormat="1" ht="14.25" customHeight="1">
      <c r="B11" s="645"/>
      <c r="C11" s="618"/>
      <c r="D11" s="618"/>
      <c r="E11" s="618"/>
      <c r="F11" s="618"/>
      <c r="G11" s="669"/>
      <c r="H11" s="669"/>
      <c r="I11" s="618"/>
      <c r="J11" s="618"/>
      <c r="K11" s="618"/>
      <c r="L11" s="618"/>
      <c r="M11" s="618"/>
      <c r="N11" s="618"/>
      <c r="O11" s="618"/>
      <c r="P11" s="618"/>
      <c r="Q11" s="618"/>
      <c r="R11" s="618"/>
      <c r="S11" s="618"/>
      <c r="T11" s="659"/>
      <c r="U11" s="659"/>
      <c r="V11" s="659"/>
      <c r="W11" s="678"/>
      <c r="X11" s="678"/>
      <c r="Y11" s="678"/>
      <c r="Z11" s="678"/>
      <c r="AA11" s="678"/>
      <c r="AB11" s="678"/>
      <c r="AC11" s="678"/>
      <c r="AD11" s="678"/>
      <c r="AE11" s="678"/>
      <c r="AF11" s="678"/>
      <c r="AG11" s="678"/>
      <c r="AH11" s="678"/>
      <c r="AI11" s="678"/>
      <c r="AJ11" s="678"/>
      <c r="AK11" s="678"/>
      <c r="AL11" s="678"/>
      <c r="AM11" s="678"/>
      <c r="AN11" s="678"/>
      <c r="AO11" s="678"/>
      <c r="AP11" s="674"/>
      <c r="AQ11" s="674"/>
      <c r="AR11" s="673"/>
    </row>
    <row r="12" spans="1:44" s="638" customFormat="1" ht="14.25" customHeight="1">
      <c r="B12" s="654" t="s">
        <v>228</v>
      </c>
      <c r="C12" s="618"/>
      <c r="D12" s="618"/>
      <c r="E12" s="618"/>
      <c r="F12" s="618"/>
      <c r="G12" s="668" t="s">
        <v>1582</v>
      </c>
      <c r="H12" s="669"/>
      <c r="I12" s="618"/>
      <c r="J12" s="618"/>
      <c r="K12" s="618"/>
      <c r="L12" s="618"/>
      <c r="M12" s="618"/>
      <c r="N12" s="618"/>
      <c r="O12" s="618"/>
      <c r="P12" s="618"/>
      <c r="Q12" s="618"/>
      <c r="R12" s="618"/>
      <c r="S12" s="618"/>
      <c r="T12" s="659"/>
      <c r="U12" s="659"/>
      <c r="V12" s="659"/>
      <c r="W12" s="1257" t="s">
        <v>1682</v>
      </c>
      <c r="X12" s="1258"/>
      <c r="Y12" s="1258"/>
      <c r="Z12" s="1259"/>
      <c r="AA12" s="659"/>
      <c r="AB12" s="672"/>
      <c r="AC12" s="652"/>
      <c r="AD12" s="640"/>
      <c r="AE12" s="640"/>
      <c r="AF12" s="640"/>
      <c r="AG12" s="640"/>
      <c r="AH12" s="640"/>
      <c r="AI12" s="640"/>
      <c r="AJ12" s="640"/>
      <c r="AK12" s="640"/>
      <c r="AL12" s="640"/>
      <c r="AM12" s="640"/>
      <c r="AN12" s="640"/>
      <c r="AO12" s="640"/>
      <c r="AP12" s="640"/>
      <c r="AQ12" s="642"/>
      <c r="AR12" s="639"/>
    </row>
    <row r="13" spans="1:44" s="638" customFormat="1" ht="14.25" customHeight="1">
      <c r="B13" s="619"/>
      <c r="C13" s="618"/>
      <c r="D13" s="618"/>
      <c r="E13" s="618"/>
      <c r="F13" s="618"/>
      <c r="G13" s="618"/>
      <c r="H13" s="618"/>
      <c r="I13" s="618"/>
      <c r="J13" s="618"/>
      <c r="K13" s="618"/>
      <c r="L13" s="618"/>
      <c r="M13" s="618"/>
      <c r="N13" s="618"/>
      <c r="O13" s="618"/>
      <c r="P13" s="618"/>
      <c r="Q13" s="618"/>
      <c r="R13" s="618"/>
      <c r="S13" s="618"/>
      <c r="T13" s="659"/>
      <c r="U13" s="659"/>
      <c r="V13" s="659"/>
      <c r="W13" s="661"/>
      <c r="X13" s="661"/>
      <c r="Y13" s="660"/>
      <c r="Z13" s="659"/>
      <c r="AA13" s="659"/>
      <c r="AB13" s="640"/>
      <c r="AC13" s="640"/>
      <c r="AD13" s="640"/>
      <c r="AE13" s="640"/>
      <c r="AF13" s="640"/>
      <c r="AG13" s="640"/>
      <c r="AH13" s="640"/>
      <c r="AI13" s="640"/>
      <c r="AJ13" s="640"/>
      <c r="AK13" s="640"/>
      <c r="AL13" s="640"/>
      <c r="AM13" s="640"/>
      <c r="AN13" s="640"/>
      <c r="AO13" s="640"/>
      <c r="AP13" s="640"/>
      <c r="AQ13" s="640"/>
      <c r="AR13" s="639"/>
    </row>
    <row r="14" spans="1:44" s="638" customFormat="1" ht="14.25" customHeight="1">
      <c r="B14" s="654" t="s">
        <v>237</v>
      </c>
      <c r="C14" s="618"/>
      <c r="D14" s="618"/>
      <c r="E14" s="618"/>
      <c r="F14" s="618"/>
      <c r="G14" s="668" t="s">
        <v>1581</v>
      </c>
      <c r="H14" s="669"/>
      <c r="I14" s="618"/>
      <c r="J14" s="618"/>
      <c r="K14" s="618"/>
      <c r="L14" s="618"/>
      <c r="M14" s="618"/>
      <c r="N14" s="618"/>
      <c r="O14" s="618"/>
      <c r="P14" s="618"/>
      <c r="Q14" s="618"/>
      <c r="R14" s="618"/>
      <c r="S14" s="618"/>
      <c r="T14" s="659"/>
      <c r="U14" s="659"/>
      <c r="V14" s="659"/>
      <c r="W14" s="1257" t="s">
        <v>1683</v>
      </c>
      <c r="X14" s="1258"/>
      <c r="Y14" s="1258"/>
      <c r="Z14" s="1259"/>
      <c r="AA14" s="659"/>
      <c r="AB14" s="668" t="s">
        <v>1580</v>
      </c>
      <c r="AC14" s="652"/>
      <c r="AD14" s="652"/>
      <c r="AE14" s="640"/>
      <c r="AF14" s="640"/>
      <c r="AG14" s="640"/>
      <c r="AH14" s="640"/>
      <c r="AI14" s="640"/>
      <c r="AJ14" s="640"/>
      <c r="AK14" s="640"/>
      <c r="AL14" s="640"/>
      <c r="AM14" s="640"/>
      <c r="AN14" s="640"/>
      <c r="AO14" s="640"/>
      <c r="AP14" s="640"/>
      <c r="AQ14" s="671">
        <v>12</v>
      </c>
      <c r="AR14" s="670"/>
    </row>
    <row r="15" spans="1:44" s="638" customFormat="1" ht="14.25" customHeight="1">
      <c r="B15" s="619"/>
      <c r="C15" s="618"/>
      <c r="D15" s="618"/>
      <c r="E15" s="618"/>
      <c r="F15" s="618"/>
      <c r="G15" s="618"/>
      <c r="H15" s="618"/>
      <c r="I15" s="618"/>
      <c r="J15" s="618"/>
      <c r="K15" s="618"/>
      <c r="L15" s="618"/>
      <c r="M15" s="618"/>
      <c r="N15" s="618"/>
      <c r="O15" s="618"/>
      <c r="P15" s="618"/>
      <c r="Q15" s="618"/>
      <c r="R15" s="618"/>
      <c r="S15" s="618"/>
      <c r="T15" s="659"/>
      <c r="U15" s="659"/>
      <c r="V15" s="659"/>
      <c r="W15" s="661"/>
      <c r="X15" s="661"/>
      <c r="Y15" s="660"/>
      <c r="Z15" s="659"/>
      <c r="AA15" s="659"/>
      <c r="AB15" s="640"/>
      <c r="AC15" s="640"/>
      <c r="AD15" s="640"/>
      <c r="AE15" s="640"/>
      <c r="AF15" s="640"/>
      <c r="AG15" s="640"/>
      <c r="AH15" s="640"/>
      <c r="AI15" s="640"/>
      <c r="AJ15" s="640"/>
      <c r="AK15" s="640"/>
      <c r="AL15" s="640"/>
      <c r="AM15" s="640"/>
      <c r="AN15" s="640"/>
      <c r="AO15" s="640"/>
      <c r="AP15" s="640"/>
      <c r="AQ15" s="667"/>
      <c r="AR15" s="639"/>
    </row>
    <row r="16" spans="1:44" s="638" customFormat="1" ht="14.25" customHeight="1">
      <c r="B16" s="654" t="s">
        <v>246</v>
      </c>
      <c r="C16" s="618"/>
      <c r="D16" s="618"/>
      <c r="E16" s="1230" t="s">
        <v>1684</v>
      </c>
      <c r="F16" s="1231"/>
      <c r="G16" s="1231"/>
      <c r="H16" s="1231"/>
      <c r="I16" s="1232"/>
      <c r="J16" s="1254" t="s">
        <v>1685</v>
      </c>
      <c r="K16" s="1255"/>
      <c r="L16" s="1255"/>
      <c r="M16" s="1255"/>
      <c r="N16" s="1255"/>
      <c r="O16" s="1255"/>
      <c r="P16" s="1256"/>
      <c r="Q16" s="618"/>
      <c r="R16" s="618"/>
      <c r="S16" s="618"/>
      <c r="T16" s="659"/>
      <c r="U16" s="659"/>
      <c r="V16" s="659"/>
      <c r="W16" s="650"/>
      <c r="X16" s="650"/>
      <c r="Y16" s="666"/>
      <c r="Z16" s="659"/>
      <c r="AA16" s="659"/>
      <c r="AB16" s="1781">
        <v>3201810353457</v>
      </c>
      <c r="AC16" s="1782"/>
      <c r="AD16" s="1782"/>
      <c r="AE16" s="1782"/>
      <c r="AF16" s="1782"/>
      <c r="AG16" s="1782"/>
      <c r="AH16" s="1782"/>
      <c r="AI16" s="1782"/>
      <c r="AJ16" s="1782"/>
      <c r="AK16" s="1782"/>
      <c r="AL16" s="1782"/>
      <c r="AM16" s="1782"/>
      <c r="AN16" s="1783"/>
      <c r="AO16" s="640"/>
      <c r="AP16" s="640"/>
      <c r="AQ16" s="642"/>
      <c r="AR16" s="639"/>
    </row>
    <row r="17" spans="2:44" s="638" customFormat="1" ht="14.25" customHeight="1">
      <c r="B17" s="619"/>
      <c r="C17" s="618"/>
      <c r="D17" s="618"/>
      <c r="E17" s="618"/>
      <c r="F17" s="618"/>
      <c r="G17" s="668" t="s">
        <v>1579</v>
      </c>
      <c r="H17" s="669"/>
      <c r="I17" s="618"/>
      <c r="J17" s="668" t="s">
        <v>1578</v>
      </c>
      <c r="K17" s="618"/>
      <c r="L17" s="618"/>
      <c r="M17" s="618"/>
      <c r="N17" s="618"/>
      <c r="O17" s="618"/>
      <c r="P17" s="618"/>
      <c r="Q17" s="618"/>
      <c r="R17" s="618"/>
      <c r="S17" s="618"/>
      <c r="T17" s="659"/>
      <c r="U17" s="659"/>
      <c r="V17" s="659"/>
      <c r="W17" s="661"/>
      <c r="X17" s="661"/>
      <c r="Y17" s="660"/>
      <c r="Z17" s="659"/>
      <c r="AA17" s="659"/>
      <c r="AB17" s="640"/>
      <c r="AC17" s="640" t="s">
        <v>1577</v>
      </c>
      <c r="AD17" s="640"/>
      <c r="AE17" s="640"/>
      <c r="AF17" s="640"/>
      <c r="AG17" s="640"/>
      <c r="AH17" s="640"/>
      <c r="AI17" s="640"/>
      <c r="AJ17" s="640"/>
      <c r="AK17" s="640"/>
      <c r="AL17" s="640"/>
      <c r="AM17" s="640"/>
      <c r="AN17" s="640"/>
      <c r="AO17" s="640"/>
      <c r="AP17" s="640"/>
      <c r="AQ17" s="667"/>
      <c r="AR17" s="639"/>
    </row>
    <row r="18" spans="2:44" s="638" customFormat="1" ht="14.25" customHeight="1">
      <c r="B18" s="619"/>
      <c r="C18" s="618"/>
      <c r="D18" s="618"/>
      <c r="E18" s="618"/>
      <c r="F18" s="618"/>
      <c r="G18" s="618"/>
      <c r="H18" s="618"/>
      <c r="I18" s="618"/>
      <c r="J18" s="618"/>
      <c r="K18" s="618"/>
      <c r="L18" s="618"/>
      <c r="M18" s="618"/>
      <c r="N18" s="618"/>
      <c r="O18" s="618"/>
      <c r="P18" s="618"/>
      <c r="Q18" s="618"/>
      <c r="R18" s="618"/>
      <c r="S18" s="618"/>
      <c r="T18" s="659"/>
      <c r="U18" s="659"/>
      <c r="V18" s="659"/>
      <c r="W18" s="661"/>
      <c r="X18" s="661"/>
      <c r="Y18" s="660"/>
      <c r="Z18" s="659"/>
      <c r="AA18" s="659"/>
      <c r="AB18" s="640"/>
      <c r="AC18" s="640"/>
      <c r="AD18" s="640"/>
      <c r="AE18" s="640"/>
      <c r="AF18" s="640"/>
      <c r="AG18" s="640"/>
      <c r="AH18" s="640"/>
      <c r="AI18" s="640"/>
      <c r="AJ18" s="640"/>
      <c r="AK18" s="640"/>
      <c r="AL18" s="640"/>
      <c r="AM18" s="640"/>
      <c r="AN18" s="640"/>
      <c r="AO18" s="640"/>
      <c r="AP18" s="640"/>
      <c r="AQ18" s="667"/>
      <c r="AR18" s="639"/>
    </row>
    <row r="19" spans="2:44" s="638" customFormat="1" ht="14.25" customHeight="1">
      <c r="B19" s="654" t="s">
        <v>253</v>
      </c>
      <c r="C19" s="618"/>
      <c r="D19" s="618"/>
      <c r="E19" s="618"/>
      <c r="F19" s="618"/>
      <c r="G19" s="1230">
        <v>18666421</v>
      </c>
      <c r="H19" s="1231"/>
      <c r="I19" s="1231"/>
      <c r="J19" s="1231"/>
      <c r="K19" s="1232"/>
      <c r="L19" s="678"/>
      <c r="M19" s="678"/>
      <c r="N19" s="678"/>
      <c r="O19" s="678"/>
      <c r="P19" s="1230">
        <v>14735</v>
      </c>
      <c r="Q19" s="1231"/>
      <c r="R19" s="1231"/>
      <c r="S19" s="1231"/>
      <c r="T19" s="1231"/>
      <c r="U19" s="1231"/>
      <c r="V19" s="1232"/>
      <c r="W19" s="650"/>
      <c r="X19" s="650"/>
      <c r="Y19" s="666"/>
      <c r="Z19" s="659"/>
      <c r="AA19" s="659"/>
      <c r="AB19" s="713"/>
      <c r="AC19" s="713"/>
      <c r="AD19" s="713"/>
      <c r="AE19" s="713"/>
      <c r="AF19" s="713"/>
      <c r="AG19" s="713"/>
      <c r="AH19" s="713"/>
      <c r="AI19" s="713"/>
      <c r="AJ19" s="1254"/>
      <c r="AK19" s="1255"/>
      <c r="AL19" s="1255"/>
      <c r="AM19" s="1255"/>
      <c r="AN19" s="1255"/>
      <c r="AO19" s="1255"/>
      <c r="AP19" s="1256"/>
      <c r="AQ19" s="642"/>
      <c r="AR19" s="639"/>
    </row>
    <row r="20" spans="2:44" s="647" customFormat="1" ht="14.25" customHeight="1">
      <c r="B20" s="653"/>
      <c r="C20" s="651"/>
      <c r="D20" s="651"/>
      <c r="E20" s="651"/>
      <c r="F20" s="651"/>
      <c r="G20" s="664" t="s">
        <v>1576</v>
      </c>
      <c r="H20" s="664"/>
      <c r="I20" s="664"/>
      <c r="J20" s="664"/>
      <c r="K20" s="664"/>
      <c r="L20" s="664"/>
      <c r="M20" s="665"/>
      <c r="N20" s="665"/>
      <c r="O20" s="665"/>
      <c r="P20" s="664" t="s">
        <v>1575</v>
      </c>
      <c r="Q20" s="664"/>
      <c r="R20" s="664"/>
      <c r="S20" s="664"/>
      <c r="T20" s="664"/>
      <c r="U20" s="664"/>
      <c r="V20" s="664"/>
      <c r="W20" s="650"/>
      <c r="X20" s="650"/>
      <c r="Y20" s="649"/>
      <c r="Z20" s="640"/>
      <c r="AA20" s="640"/>
      <c r="AB20" s="648"/>
      <c r="AC20" s="648"/>
      <c r="AD20" s="663"/>
      <c r="AE20" s="648"/>
      <c r="AF20" s="648"/>
      <c r="AG20" s="648"/>
      <c r="AH20" s="648"/>
      <c r="AI20" s="648"/>
      <c r="AJ20" s="662" t="s">
        <v>1574</v>
      </c>
      <c r="AK20" s="662"/>
      <c r="AL20" s="662"/>
      <c r="AM20" s="648"/>
      <c r="AN20" s="648"/>
      <c r="AO20" s="640"/>
      <c r="AP20" s="640"/>
      <c r="AQ20" s="642"/>
      <c r="AR20" s="639"/>
    </row>
    <row r="21" spans="2:44" s="647" customFormat="1" ht="14.25" customHeight="1">
      <c r="B21" s="645"/>
      <c r="C21" s="651"/>
      <c r="D21" s="651"/>
      <c r="E21" s="651"/>
      <c r="F21" s="651"/>
      <c r="G21" s="652"/>
      <c r="H21" s="652"/>
      <c r="I21" s="648"/>
      <c r="J21" s="648"/>
      <c r="K21" s="648"/>
      <c r="L21" s="648"/>
      <c r="M21" s="648"/>
      <c r="N21" s="648"/>
      <c r="O21" s="648"/>
      <c r="P21" s="651"/>
      <c r="Q21" s="651"/>
      <c r="R21" s="651"/>
      <c r="S21" s="651"/>
      <c r="T21" s="640"/>
      <c r="U21" s="640"/>
      <c r="V21" s="640"/>
      <c r="W21" s="650"/>
      <c r="X21" s="650"/>
      <c r="Y21" s="649"/>
      <c r="Z21" s="640"/>
      <c r="AA21" s="640"/>
      <c r="AB21" s="648"/>
      <c r="AC21" s="648"/>
      <c r="AD21" s="648"/>
      <c r="AE21" s="648"/>
      <c r="AF21" s="648"/>
      <c r="AG21" s="648"/>
      <c r="AH21" s="648"/>
      <c r="AI21" s="648"/>
      <c r="AJ21" s="648"/>
      <c r="AK21" s="648"/>
      <c r="AL21" s="648"/>
      <c r="AM21" s="648"/>
      <c r="AN21" s="648"/>
      <c r="AO21" s="640"/>
      <c r="AP21" s="640"/>
      <c r="AQ21" s="642"/>
      <c r="AR21" s="639"/>
    </row>
    <row r="22" spans="2:44" s="638" customFormat="1" ht="14.25" customHeight="1">
      <c r="B22" s="646" t="s">
        <v>255</v>
      </c>
      <c r="C22" s="618"/>
      <c r="D22" s="618"/>
      <c r="E22" s="618"/>
      <c r="F22" s="618"/>
      <c r="G22" s="1238"/>
      <c r="H22" s="1209"/>
      <c r="I22" s="1209"/>
      <c r="J22" s="1209"/>
      <c r="K22" s="1209"/>
      <c r="L22" s="1209"/>
      <c r="M22" s="1209"/>
      <c r="N22" s="1209"/>
      <c r="O22" s="1209"/>
      <c r="P22" s="1209"/>
      <c r="Q22" s="1209"/>
      <c r="R22" s="1209"/>
      <c r="S22" s="1209"/>
      <c r="T22" s="1209"/>
      <c r="U22" s="1209"/>
      <c r="V22" s="1209"/>
      <c r="W22" s="1209"/>
      <c r="X22" s="1209"/>
      <c r="Y22" s="1209"/>
      <c r="Z22" s="1209"/>
      <c r="AA22" s="1209"/>
      <c r="AB22" s="1209"/>
      <c r="AC22" s="1209"/>
      <c r="AD22" s="1209"/>
      <c r="AE22" s="1209"/>
      <c r="AF22" s="1209"/>
      <c r="AG22" s="1209"/>
      <c r="AH22" s="1209"/>
      <c r="AI22" s="1209"/>
      <c r="AJ22" s="1209"/>
      <c r="AK22" s="657"/>
      <c r="AL22" s="1239"/>
      <c r="AM22" s="1240"/>
      <c r="AN22" s="1240"/>
      <c r="AO22" s="1240"/>
      <c r="AP22" s="1240"/>
      <c r="AQ22" s="1240"/>
      <c r="AR22" s="1241"/>
    </row>
    <row r="23" spans="2:44" s="638" customFormat="1" ht="14.25" customHeight="1">
      <c r="B23" s="619"/>
      <c r="C23" s="618"/>
      <c r="D23" s="618"/>
      <c r="E23" s="618"/>
      <c r="F23" s="618"/>
      <c r="G23" s="618"/>
      <c r="H23" s="618"/>
      <c r="I23" s="618"/>
      <c r="J23" s="618"/>
      <c r="K23" s="618"/>
      <c r="L23" s="618"/>
      <c r="M23" s="618"/>
      <c r="N23" s="618"/>
      <c r="O23" s="618"/>
      <c r="P23" s="618"/>
      <c r="Q23" s="618"/>
      <c r="R23" s="1211" t="s">
        <v>1573</v>
      </c>
      <c r="S23" s="1211"/>
      <c r="T23" s="1211"/>
      <c r="U23" s="1211"/>
      <c r="V23" s="1211"/>
      <c r="W23" s="1211"/>
      <c r="X23" s="1211"/>
      <c r="Y23" s="1211"/>
      <c r="Z23" s="1211"/>
      <c r="AA23" s="659"/>
      <c r="AB23" s="640"/>
      <c r="AC23" s="640"/>
      <c r="AD23" s="640"/>
      <c r="AE23" s="640"/>
      <c r="AF23" s="640"/>
      <c r="AG23" s="640"/>
      <c r="AH23" s="640"/>
      <c r="AI23" s="640"/>
      <c r="AJ23" s="640"/>
      <c r="AK23" s="640"/>
      <c r="AL23" s="640"/>
      <c r="AM23" s="640"/>
      <c r="AN23" s="1223" t="s">
        <v>1572</v>
      </c>
      <c r="AO23" s="1223"/>
      <c r="AP23" s="1223"/>
      <c r="AQ23" s="1223"/>
      <c r="AR23" s="639"/>
    </row>
    <row r="24" spans="2:44" s="638" customFormat="1" ht="14.25" customHeight="1">
      <c r="B24" s="619"/>
      <c r="C24" s="618"/>
      <c r="D24" s="618"/>
      <c r="E24" s="618"/>
      <c r="F24" s="618"/>
      <c r="G24" s="618"/>
      <c r="H24" s="618"/>
      <c r="I24" s="618"/>
      <c r="J24" s="618"/>
      <c r="K24" s="618"/>
      <c r="L24" s="618"/>
      <c r="M24" s="618"/>
      <c r="N24" s="618"/>
      <c r="O24" s="618"/>
      <c r="P24" s="618"/>
      <c r="Q24" s="618"/>
      <c r="R24" s="618"/>
      <c r="S24" s="618"/>
      <c r="T24" s="659"/>
      <c r="U24" s="659"/>
      <c r="V24" s="659"/>
      <c r="W24" s="661"/>
      <c r="X24" s="661"/>
      <c r="Y24" s="660"/>
      <c r="Z24" s="659"/>
      <c r="AA24" s="659"/>
      <c r="AB24" s="640"/>
      <c r="AC24" s="640"/>
      <c r="AD24" s="640"/>
      <c r="AE24" s="640"/>
      <c r="AF24" s="640"/>
      <c r="AG24" s="640"/>
      <c r="AH24" s="640"/>
      <c r="AI24" s="640"/>
      <c r="AJ24" s="640"/>
      <c r="AK24" s="640"/>
      <c r="AL24" s="640"/>
      <c r="AM24" s="640"/>
      <c r="AN24" s="640"/>
      <c r="AO24" s="640"/>
      <c r="AP24" s="640"/>
      <c r="AQ24" s="640"/>
      <c r="AR24" s="639"/>
    </row>
    <row r="25" spans="2:44" s="638" customFormat="1" ht="14.25" customHeight="1">
      <c r="B25" s="646" t="s">
        <v>258</v>
      </c>
      <c r="C25" s="618"/>
      <c r="D25" s="618"/>
      <c r="E25" s="618"/>
      <c r="F25" s="618"/>
      <c r="G25" s="1230"/>
      <c r="H25" s="1231"/>
      <c r="I25" s="1231"/>
      <c r="J25" s="1231"/>
      <c r="K25" s="1231"/>
      <c r="L25" s="1232"/>
      <c r="M25" s="678"/>
      <c r="N25" s="678"/>
      <c r="O25" s="678"/>
      <c r="P25" s="678"/>
      <c r="Q25" s="1230"/>
      <c r="R25" s="1231"/>
      <c r="S25" s="1231"/>
      <c r="T25" s="1232"/>
      <c r="U25" s="678"/>
      <c r="V25" s="678"/>
      <c r="W25" s="1230"/>
      <c r="X25" s="1231"/>
      <c r="Y25" s="1231"/>
      <c r="Z25" s="1232"/>
      <c r="AA25" s="1233"/>
      <c r="AB25" s="1234"/>
      <c r="AC25" s="1234"/>
      <c r="AD25" s="1234"/>
      <c r="AE25" s="1234"/>
      <c r="AF25" s="1235"/>
      <c r="AG25" s="1233"/>
      <c r="AH25" s="1234"/>
      <c r="AI25" s="1234"/>
      <c r="AJ25" s="1234"/>
      <c r="AK25" s="1234"/>
      <c r="AL25" s="1234"/>
      <c r="AM25" s="1235"/>
      <c r="AN25" s="1236"/>
      <c r="AO25" s="1236"/>
      <c r="AP25" s="1236"/>
      <c r="AQ25" s="1236"/>
      <c r="AR25" s="1237"/>
    </row>
    <row r="26" spans="2:44" s="638" customFormat="1" ht="14.25" customHeight="1">
      <c r="B26" s="645"/>
      <c r="C26" s="618"/>
      <c r="D26" s="618"/>
      <c r="E26" s="618"/>
      <c r="F26" s="618"/>
      <c r="G26" s="1211" t="s">
        <v>1571</v>
      </c>
      <c r="H26" s="1211"/>
      <c r="I26" s="1211"/>
      <c r="J26" s="1211"/>
      <c r="K26" s="1211"/>
      <c r="L26" s="1211"/>
      <c r="M26" s="678"/>
      <c r="N26" s="678"/>
      <c r="O26" s="678"/>
      <c r="P26" s="678"/>
      <c r="Q26" s="1223" t="s">
        <v>1570</v>
      </c>
      <c r="R26" s="1223"/>
      <c r="S26" s="1223"/>
      <c r="T26" s="1223"/>
      <c r="U26" s="640"/>
      <c r="V26" s="678"/>
      <c r="W26" s="678"/>
      <c r="X26" s="678"/>
      <c r="Y26" s="678"/>
      <c r="Z26" s="678"/>
      <c r="AA26" s="678"/>
      <c r="AB26" s="1211" t="s">
        <v>1569</v>
      </c>
      <c r="AC26" s="1211"/>
      <c r="AD26" s="1211"/>
      <c r="AE26" s="1211" t="s">
        <v>1568</v>
      </c>
      <c r="AF26" s="1211"/>
      <c r="AG26" s="1211"/>
      <c r="AH26" s="1211"/>
      <c r="AI26" s="1211"/>
      <c r="AJ26" s="1211"/>
      <c r="AK26" s="1211"/>
      <c r="AL26" s="678"/>
      <c r="AM26" s="643"/>
      <c r="AN26" s="1223" t="s">
        <v>1567</v>
      </c>
      <c r="AO26" s="1223"/>
      <c r="AP26" s="1223"/>
      <c r="AQ26" s="1223"/>
      <c r="AR26" s="1229"/>
    </row>
    <row r="27" spans="2:44" s="638" customFormat="1" ht="14.25" customHeight="1">
      <c r="B27" s="645"/>
      <c r="C27" s="618"/>
      <c r="D27" s="618"/>
      <c r="E27" s="618"/>
      <c r="F27" s="618"/>
      <c r="G27" s="678"/>
      <c r="H27" s="678"/>
      <c r="I27" s="678"/>
      <c r="J27" s="678"/>
      <c r="K27" s="678"/>
      <c r="L27" s="678"/>
      <c r="M27" s="678"/>
      <c r="N27" s="678"/>
      <c r="O27" s="678"/>
      <c r="P27" s="678"/>
      <c r="Q27" s="641"/>
      <c r="R27" s="641"/>
      <c r="S27" s="641"/>
      <c r="T27" s="641"/>
      <c r="U27" s="640"/>
      <c r="V27" s="678"/>
      <c r="W27" s="678"/>
      <c r="X27" s="678"/>
      <c r="Y27" s="678"/>
      <c r="Z27" s="678"/>
      <c r="AA27" s="678"/>
      <c r="AB27" s="678"/>
      <c r="AC27" s="678"/>
      <c r="AD27" s="678"/>
      <c r="AE27" s="678"/>
      <c r="AF27" s="678"/>
      <c r="AG27" s="678"/>
      <c r="AH27" s="678"/>
      <c r="AI27" s="678"/>
      <c r="AJ27" s="678"/>
      <c r="AK27" s="678"/>
      <c r="AL27" s="678"/>
      <c r="AM27" s="643"/>
      <c r="AN27" s="643"/>
      <c r="AO27" s="640"/>
      <c r="AP27" s="640"/>
      <c r="AQ27" s="642"/>
      <c r="AR27" s="639"/>
    </row>
    <row r="28" spans="2:44" s="638" customFormat="1" ht="14.25" customHeight="1">
      <c r="B28" s="654" t="s">
        <v>261</v>
      </c>
      <c r="C28" s="618"/>
      <c r="D28" s="618"/>
      <c r="E28" s="618"/>
      <c r="F28" s="618"/>
      <c r="G28" s="1208" t="s">
        <v>1686</v>
      </c>
      <c r="H28" s="1209"/>
      <c r="I28" s="1209"/>
      <c r="J28" s="1209"/>
      <c r="K28" s="1209"/>
      <c r="L28" s="1209"/>
      <c r="M28" s="1209"/>
      <c r="N28" s="1209"/>
      <c r="O28" s="1209"/>
      <c r="P28" s="1209"/>
      <c r="Q28" s="1209"/>
      <c r="R28" s="1209"/>
      <c r="S28" s="1209"/>
      <c r="T28" s="1209"/>
      <c r="U28" s="1209"/>
      <c r="V28" s="1209"/>
      <c r="W28" s="1209"/>
      <c r="X28" s="1209"/>
      <c r="Y28" s="1209"/>
      <c r="Z28" s="1209"/>
      <c r="AA28" s="1209"/>
      <c r="AB28" s="1209"/>
      <c r="AC28" s="1209"/>
      <c r="AD28" s="1209"/>
      <c r="AE28" s="1209"/>
      <c r="AF28" s="1209"/>
      <c r="AG28" s="1209"/>
      <c r="AH28" s="1209"/>
      <c r="AI28" s="1209"/>
      <c r="AJ28" s="1209"/>
      <c r="AK28" s="1209"/>
      <c r="AL28" s="1209"/>
      <c r="AM28" s="1209"/>
      <c r="AN28" s="1209"/>
      <c r="AO28" s="1209"/>
      <c r="AP28" s="1209"/>
      <c r="AQ28" s="1209"/>
      <c r="AR28" s="1786"/>
    </row>
    <row r="29" spans="2:44" s="647" customFormat="1" ht="14.25" customHeight="1">
      <c r="B29" s="653"/>
      <c r="C29" s="651"/>
      <c r="D29" s="651"/>
      <c r="E29" s="651"/>
      <c r="F29" s="651"/>
      <c r="G29" s="1221" t="s">
        <v>1566</v>
      </c>
      <c r="H29" s="1221"/>
      <c r="I29" s="1221"/>
      <c r="J29" s="1221"/>
      <c r="K29" s="1221"/>
      <c r="L29" s="1221"/>
      <c r="M29" s="1221"/>
      <c r="N29" s="1221"/>
      <c r="O29" s="1221"/>
      <c r="P29" s="1221"/>
      <c r="Q29" s="1221"/>
      <c r="R29" s="1221"/>
      <c r="S29" s="1221"/>
      <c r="T29" s="1221"/>
      <c r="U29" s="1221"/>
      <c r="V29" s="1221"/>
      <c r="W29" s="1221"/>
      <c r="X29" s="1221"/>
      <c r="Y29" s="1221"/>
      <c r="Z29" s="1221"/>
      <c r="AA29" s="1221"/>
      <c r="AB29" s="1221"/>
      <c r="AC29" s="1221"/>
      <c r="AD29" s="1221"/>
      <c r="AE29" s="1221"/>
      <c r="AF29" s="1221"/>
      <c r="AG29" s="1221"/>
      <c r="AH29" s="1221"/>
      <c r="AI29" s="1221"/>
      <c r="AJ29" s="1221"/>
      <c r="AK29" s="1221"/>
      <c r="AL29" s="1221"/>
      <c r="AM29" s="1221"/>
      <c r="AN29" s="1221"/>
      <c r="AO29" s="1221"/>
      <c r="AP29" s="640"/>
      <c r="AQ29" s="642"/>
      <c r="AR29" s="639"/>
    </row>
    <row r="30" spans="2:44" s="647" customFormat="1" ht="14.25" customHeight="1">
      <c r="B30" s="645"/>
      <c r="C30" s="651"/>
      <c r="D30" s="651"/>
      <c r="E30" s="651"/>
      <c r="F30" s="651"/>
      <c r="G30" s="1244" t="s">
        <v>1687</v>
      </c>
      <c r="H30" s="1244"/>
      <c r="I30" s="1244"/>
      <c r="J30" s="1244"/>
      <c r="K30" s="1244"/>
      <c r="L30" s="1244"/>
      <c r="M30" s="1244"/>
      <c r="N30" s="1244"/>
      <c r="O30" s="1244"/>
      <c r="P30" s="1244"/>
      <c r="Q30" s="1244"/>
      <c r="R30" s="1244"/>
      <c r="S30" s="1244"/>
      <c r="T30" s="1244"/>
      <c r="U30" s="1244"/>
      <c r="V30" s="1244"/>
      <c r="W30" s="1244"/>
      <c r="X30" s="1244"/>
      <c r="Y30" s="1244"/>
      <c r="Z30" s="1244"/>
      <c r="AA30" s="1244"/>
      <c r="AB30" s="1244"/>
      <c r="AC30" s="1244"/>
      <c r="AD30" s="1244"/>
      <c r="AE30" s="1244"/>
      <c r="AF30" s="1244"/>
      <c r="AG30" s="1244"/>
      <c r="AH30" s="1244"/>
      <c r="AI30" s="1244"/>
      <c r="AJ30" s="1244"/>
      <c r="AK30" s="1244"/>
      <c r="AL30" s="648"/>
      <c r="AM30" s="648"/>
      <c r="AN30" s="648"/>
      <c r="AO30" s="640"/>
      <c r="AP30" s="640"/>
      <c r="AQ30" s="642"/>
      <c r="AR30" s="639"/>
    </row>
    <row r="31" spans="2:44" s="638" customFormat="1" ht="14.25" customHeight="1">
      <c r="B31" s="646" t="s">
        <v>1565</v>
      </c>
      <c r="C31" s="618"/>
      <c r="D31" s="618"/>
      <c r="E31" s="618"/>
      <c r="F31" s="618"/>
      <c r="G31" s="1245"/>
      <c r="H31" s="1245"/>
      <c r="I31" s="1245"/>
      <c r="J31" s="1245"/>
      <c r="K31" s="1245"/>
      <c r="L31" s="1245"/>
      <c r="M31" s="1245"/>
      <c r="N31" s="1245"/>
      <c r="O31" s="1245"/>
      <c r="P31" s="1245"/>
      <c r="Q31" s="1245"/>
      <c r="R31" s="1245"/>
      <c r="S31" s="1245"/>
      <c r="T31" s="1245"/>
      <c r="U31" s="1245"/>
      <c r="V31" s="1245"/>
      <c r="W31" s="1245"/>
      <c r="X31" s="1245"/>
      <c r="Y31" s="1245"/>
      <c r="Z31" s="1245"/>
      <c r="AA31" s="1245"/>
      <c r="AB31" s="1245"/>
      <c r="AC31" s="1245"/>
      <c r="AD31" s="1245"/>
      <c r="AE31" s="1245"/>
      <c r="AF31" s="1245"/>
      <c r="AG31" s="1245"/>
      <c r="AH31" s="1245"/>
      <c r="AI31" s="1245"/>
      <c r="AJ31" s="1245"/>
      <c r="AK31" s="1245"/>
      <c r="AL31" s="658"/>
      <c r="AM31" s="656"/>
      <c r="AN31" s="656"/>
      <c r="AO31" s="656"/>
      <c r="AP31" s="656"/>
      <c r="AQ31" s="656"/>
      <c r="AR31" s="655"/>
    </row>
    <row r="32" spans="2:44" s="638" customFormat="1" ht="14.25" customHeight="1">
      <c r="B32" s="619"/>
      <c r="C32" s="618"/>
      <c r="D32" s="618"/>
      <c r="E32" s="618"/>
      <c r="F32" s="618"/>
      <c r="G32" s="618"/>
      <c r="H32" s="618"/>
      <c r="I32" s="1211" t="s">
        <v>1564</v>
      </c>
      <c r="J32" s="1211"/>
      <c r="K32" s="1211"/>
      <c r="L32" s="1211"/>
      <c r="M32" s="1211"/>
      <c r="N32" s="1211"/>
      <c r="O32" s="1211"/>
      <c r="P32" s="1211"/>
      <c r="Q32" s="1211"/>
      <c r="R32" s="1211"/>
      <c r="S32" s="1211"/>
      <c r="T32" s="1211"/>
      <c r="U32" s="1211"/>
      <c r="V32" s="1211"/>
      <c r="W32" s="1211"/>
      <c r="X32" s="1211"/>
      <c r="Y32" s="1211"/>
      <c r="Z32" s="1211"/>
      <c r="AA32" s="1211"/>
      <c r="AB32" s="1211"/>
      <c r="AC32" s="1211"/>
      <c r="AD32" s="1211"/>
      <c r="AE32" s="1211"/>
      <c r="AF32" s="1211"/>
      <c r="AG32" s="1211"/>
      <c r="AH32" s="1211"/>
      <c r="AI32" s="1211"/>
      <c r="AJ32" s="1211"/>
      <c r="AK32" s="640"/>
      <c r="AL32" s="640"/>
      <c r="AM32" s="640"/>
      <c r="AN32" s="1223"/>
      <c r="AO32" s="1223"/>
      <c r="AP32" s="1223"/>
      <c r="AQ32" s="1223"/>
      <c r="AR32" s="639"/>
    </row>
    <row r="33" spans="2:61" s="638" customFormat="1" ht="14.25" customHeight="1">
      <c r="B33" s="619"/>
      <c r="C33" s="618"/>
      <c r="D33" s="618"/>
      <c r="E33" s="618"/>
      <c r="F33" s="618"/>
      <c r="G33" s="618"/>
      <c r="H33" s="618"/>
      <c r="I33" s="678"/>
      <c r="J33" s="678"/>
      <c r="K33" s="678"/>
      <c r="L33" s="678"/>
      <c r="M33" s="678"/>
      <c r="N33" s="678"/>
      <c r="O33" s="678"/>
      <c r="P33" s="678"/>
      <c r="Q33" s="678"/>
      <c r="R33" s="678"/>
      <c r="S33" s="678"/>
      <c r="T33" s="678"/>
      <c r="U33" s="678"/>
      <c r="V33" s="678"/>
      <c r="W33" s="678"/>
      <c r="X33" s="678"/>
      <c r="Y33" s="678"/>
      <c r="Z33" s="678"/>
      <c r="AA33" s="678"/>
      <c r="AB33" s="678"/>
      <c r="AC33" s="678"/>
      <c r="AD33" s="678"/>
      <c r="AE33" s="678"/>
      <c r="AF33" s="678"/>
      <c r="AG33" s="678"/>
      <c r="AH33" s="678"/>
      <c r="AI33" s="678"/>
      <c r="AJ33" s="678"/>
      <c r="AK33" s="640"/>
      <c r="AL33" s="640"/>
      <c r="AM33" s="640"/>
      <c r="AN33" s="641"/>
      <c r="AO33" s="641"/>
      <c r="AP33" s="641"/>
      <c r="AQ33" s="641"/>
      <c r="AR33" s="639"/>
    </row>
    <row r="34" spans="2:61" s="638" customFormat="1" ht="14.25" customHeight="1">
      <c r="B34" s="619"/>
      <c r="C34" s="618"/>
      <c r="D34" s="618"/>
      <c r="E34" s="618"/>
      <c r="F34" s="618"/>
      <c r="G34" s="1230" t="s">
        <v>1688</v>
      </c>
      <c r="H34" s="1231"/>
      <c r="I34" s="1231"/>
      <c r="J34" s="1231"/>
      <c r="K34" s="1231"/>
      <c r="L34" s="1231"/>
      <c r="M34" s="1231"/>
      <c r="N34" s="1231"/>
      <c r="O34" s="1231"/>
      <c r="P34" s="1231"/>
      <c r="Q34" s="1231"/>
      <c r="R34" s="1231"/>
      <c r="S34" s="1231"/>
      <c r="T34" s="1231"/>
      <c r="U34" s="1231"/>
      <c r="V34" s="1231"/>
      <c r="W34" s="1231"/>
      <c r="X34" s="1231"/>
      <c r="Y34" s="1231"/>
      <c r="Z34" s="1231"/>
      <c r="AA34" s="1231"/>
      <c r="AB34" s="1231"/>
      <c r="AC34" s="1231"/>
      <c r="AD34" s="1231"/>
      <c r="AE34" s="1231"/>
      <c r="AF34" s="1231"/>
      <c r="AG34" s="1231"/>
      <c r="AH34" s="1231"/>
      <c r="AI34" s="1231"/>
      <c r="AJ34" s="1231"/>
      <c r="AK34" s="1231"/>
      <c r="AL34" s="1231"/>
      <c r="AM34" s="1231"/>
      <c r="AN34" s="1231"/>
      <c r="AO34" s="1231"/>
      <c r="AP34" s="1231"/>
      <c r="AQ34" s="1231"/>
      <c r="AR34" s="1785"/>
    </row>
    <row r="35" spans="2:61" s="638" customFormat="1" ht="14.25" customHeight="1">
      <c r="B35" s="619"/>
      <c r="C35" s="618"/>
      <c r="D35" s="618"/>
      <c r="E35" s="618"/>
      <c r="F35" s="618"/>
      <c r="G35" s="1221" t="s">
        <v>1563</v>
      </c>
      <c r="H35" s="1221"/>
      <c r="I35" s="1221"/>
      <c r="J35" s="1221"/>
      <c r="K35" s="1221"/>
      <c r="L35" s="1221"/>
      <c r="M35" s="1221"/>
      <c r="N35" s="1221"/>
      <c r="O35" s="1221"/>
      <c r="P35" s="1221"/>
      <c r="Q35" s="1221"/>
      <c r="R35" s="1221"/>
      <c r="S35" s="1221"/>
      <c r="T35" s="1221"/>
      <c r="U35" s="1221"/>
      <c r="V35" s="1221"/>
      <c r="W35" s="1221"/>
      <c r="X35" s="1221"/>
      <c r="Y35" s="1221"/>
      <c r="Z35" s="1221"/>
      <c r="AA35" s="1221"/>
      <c r="AB35" s="1221"/>
      <c r="AC35" s="1221"/>
      <c r="AD35" s="1221"/>
      <c r="AE35" s="1221"/>
      <c r="AF35" s="1221"/>
      <c r="AG35" s="1221"/>
      <c r="AH35" s="1221"/>
      <c r="AI35" s="1221"/>
      <c r="AJ35" s="1221"/>
      <c r="AK35" s="1221"/>
      <c r="AL35" s="1221"/>
      <c r="AM35" s="1221"/>
      <c r="AN35" s="1221"/>
      <c r="AO35" s="1221"/>
      <c r="AP35" s="641"/>
      <c r="AQ35" s="641"/>
      <c r="AR35" s="639"/>
    </row>
    <row r="36" spans="2:61" s="638" customFormat="1" ht="14.25" customHeight="1">
      <c r="B36" s="619"/>
      <c r="C36" s="618"/>
      <c r="D36" s="618"/>
      <c r="E36" s="618"/>
      <c r="F36" s="618"/>
      <c r="G36" s="618"/>
      <c r="H36" s="618"/>
      <c r="I36" s="678"/>
      <c r="J36" s="678"/>
      <c r="K36" s="678"/>
      <c r="L36" s="678"/>
      <c r="M36" s="678"/>
      <c r="N36" s="678"/>
      <c r="O36" s="678"/>
      <c r="P36" s="678"/>
      <c r="Q36" s="678"/>
      <c r="R36" s="678"/>
      <c r="S36" s="678"/>
      <c r="T36" s="678"/>
      <c r="U36" s="678"/>
      <c r="V36" s="678"/>
      <c r="W36" s="678"/>
      <c r="X36" s="678"/>
      <c r="Y36" s="678"/>
      <c r="Z36" s="678"/>
      <c r="AA36" s="678"/>
      <c r="AB36" s="678"/>
      <c r="AC36" s="678"/>
      <c r="AD36" s="678"/>
      <c r="AE36" s="678"/>
      <c r="AF36" s="678"/>
      <c r="AG36" s="678"/>
      <c r="AH36" s="678"/>
      <c r="AI36" s="678"/>
      <c r="AJ36" s="678"/>
      <c r="AK36" s="640"/>
      <c r="AL36" s="640"/>
      <c r="AM36" s="640"/>
      <c r="AN36" s="641"/>
      <c r="AO36" s="641"/>
      <c r="AP36" s="641"/>
      <c r="AQ36" s="641"/>
      <c r="AR36" s="639"/>
    </row>
    <row r="37" spans="2:61" s="638" customFormat="1" ht="14.25" customHeight="1">
      <c r="B37" s="619"/>
      <c r="C37" s="618"/>
      <c r="D37" s="618"/>
      <c r="E37" s="618"/>
      <c r="F37" s="618"/>
      <c r="G37" s="1230" t="s">
        <v>1689</v>
      </c>
      <c r="H37" s="1231"/>
      <c r="I37" s="1231"/>
      <c r="J37" s="1231"/>
      <c r="K37" s="1231"/>
      <c r="L37" s="1231"/>
      <c r="M37" s="1231"/>
      <c r="N37" s="1231"/>
      <c r="O37" s="1231"/>
      <c r="P37" s="1231"/>
      <c r="Q37" s="1231"/>
      <c r="R37" s="1231"/>
      <c r="S37" s="1231"/>
      <c r="T37" s="1231"/>
      <c r="U37" s="1231"/>
      <c r="V37" s="1231"/>
      <c r="W37" s="1231"/>
      <c r="X37" s="1231"/>
      <c r="Y37" s="1231"/>
      <c r="Z37" s="1231"/>
      <c r="AA37" s="1231"/>
      <c r="AB37" s="1231"/>
      <c r="AC37" s="1231"/>
      <c r="AD37" s="1231"/>
      <c r="AE37" s="1231"/>
      <c r="AF37" s="1231"/>
      <c r="AG37" s="1231"/>
      <c r="AH37" s="1231"/>
      <c r="AI37" s="1231"/>
      <c r="AJ37" s="1231"/>
      <c r="AK37" s="1231"/>
      <c r="AL37" s="1231"/>
      <c r="AM37" s="1231"/>
      <c r="AN37" s="1231"/>
      <c r="AO37" s="1231"/>
      <c r="AP37" s="1231"/>
      <c r="AQ37" s="1231"/>
      <c r="AR37" s="1785"/>
    </row>
    <row r="38" spans="2:61" s="638" customFormat="1" ht="14.25" customHeight="1">
      <c r="B38" s="619"/>
      <c r="C38" s="618"/>
      <c r="D38" s="618"/>
      <c r="E38" s="618"/>
      <c r="F38" s="618"/>
      <c r="G38" s="1221" t="s">
        <v>1562</v>
      </c>
      <c r="H38" s="1221"/>
      <c r="I38" s="1221"/>
      <c r="J38" s="1221"/>
      <c r="K38" s="1221"/>
      <c r="L38" s="1221"/>
      <c r="M38" s="1221"/>
      <c r="N38" s="1221"/>
      <c r="O38" s="1221"/>
      <c r="P38" s="1221"/>
      <c r="Q38" s="1221"/>
      <c r="R38" s="1221"/>
      <c r="S38" s="1221"/>
      <c r="T38" s="1221"/>
      <c r="U38" s="1221"/>
      <c r="V38" s="1221"/>
      <c r="W38" s="1221"/>
      <c r="X38" s="1221"/>
      <c r="Y38" s="1221"/>
      <c r="Z38" s="1221"/>
      <c r="AA38" s="1221"/>
      <c r="AB38" s="1221"/>
      <c r="AC38" s="1221"/>
      <c r="AD38" s="1221"/>
      <c r="AE38" s="1221"/>
      <c r="AF38" s="1221"/>
      <c r="AG38" s="1221"/>
      <c r="AH38" s="1221"/>
      <c r="AI38" s="1221"/>
      <c r="AJ38" s="1221"/>
      <c r="AK38" s="1221"/>
      <c r="AL38" s="1221"/>
      <c r="AM38" s="1221"/>
      <c r="AN38" s="1221"/>
      <c r="AO38" s="1221"/>
      <c r="AP38" s="641"/>
      <c r="AQ38" s="641"/>
      <c r="AR38" s="639"/>
    </row>
    <row r="39" spans="2:61" s="638" customFormat="1" ht="14.25" customHeight="1">
      <c r="B39" s="619"/>
      <c r="C39" s="618"/>
      <c r="D39" s="618"/>
      <c r="E39" s="618"/>
      <c r="F39" s="618"/>
      <c r="G39" s="1221" t="s">
        <v>1561</v>
      </c>
      <c r="H39" s="1221"/>
      <c r="I39" s="1221"/>
      <c r="J39" s="1221"/>
      <c r="K39" s="1221"/>
      <c r="L39" s="1221"/>
      <c r="M39" s="1221"/>
      <c r="N39" s="1221"/>
      <c r="O39" s="1221"/>
      <c r="P39" s="1221"/>
      <c r="Q39" s="1221"/>
      <c r="R39" s="1221"/>
      <c r="S39" s="1221"/>
      <c r="T39" s="1221"/>
      <c r="U39" s="1221"/>
      <c r="V39" s="1221"/>
      <c r="W39" s="1221"/>
      <c r="X39" s="1221"/>
      <c r="Y39" s="1221"/>
      <c r="Z39" s="1221"/>
      <c r="AA39" s="1221"/>
      <c r="AB39" s="1221"/>
      <c r="AC39" s="1221"/>
      <c r="AD39" s="1221"/>
      <c r="AE39" s="1221"/>
      <c r="AF39" s="1221"/>
      <c r="AG39" s="1221"/>
      <c r="AH39" s="1221"/>
      <c r="AI39" s="1221"/>
      <c r="AJ39" s="1221"/>
      <c r="AK39" s="1221"/>
      <c r="AL39" s="1221"/>
      <c r="AM39" s="1221"/>
      <c r="AN39" s="1221"/>
      <c r="AO39" s="1221"/>
      <c r="AP39" s="641"/>
      <c r="AQ39" s="641"/>
      <c r="AR39" s="639"/>
    </row>
    <row r="40" spans="2:61" s="638" customFormat="1" ht="14.25" customHeight="1">
      <c r="B40" s="619"/>
      <c r="C40" s="618"/>
      <c r="D40" s="618"/>
      <c r="E40" s="618"/>
      <c r="F40" s="618"/>
      <c r="G40" s="1222" t="s">
        <v>1560</v>
      </c>
      <c r="H40" s="1222"/>
      <c r="I40" s="1222"/>
      <c r="J40" s="1222"/>
      <c r="K40" s="1222"/>
      <c r="L40" s="1222"/>
      <c r="M40" s="1222"/>
      <c r="N40" s="1222"/>
      <c r="O40" s="1222"/>
      <c r="P40" s="1222"/>
      <c r="Q40" s="1222"/>
      <c r="R40" s="1222"/>
      <c r="S40" s="1222"/>
      <c r="T40" s="1222"/>
      <c r="U40" s="1222"/>
      <c r="V40" s="1222"/>
      <c r="W40" s="1222"/>
      <c r="X40" s="1222"/>
      <c r="Y40" s="1222"/>
      <c r="Z40" s="1222"/>
      <c r="AA40" s="1222"/>
      <c r="AB40" s="1222"/>
      <c r="AC40" s="1222"/>
      <c r="AD40" s="1222"/>
      <c r="AE40" s="1222"/>
      <c r="AF40" s="1222"/>
      <c r="AG40" s="1222"/>
      <c r="AH40" s="1222"/>
      <c r="AI40" s="1222"/>
      <c r="AJ40" s="1222"/>
      <c r="AK40" s="1222"/>
      <c r="AL40" s="1222"/>
      <c r="AM40" s="1222"/>
      <c r="AN40" s="1222"/>
      <c r="AO40" s="1222"/>
      <c r="AP40" s="641"/>
      <c r="AQ40" s="641"/>
      <c r="AR40" s="639"/>
    </row>
    <row r="41" spans="2:61" s="638" customFormat="1" ht="14.25" customHeight="1">
      <c r="B41" s="619"/>
      <c r="C41" s="618"/>
      <c r="D41" s="618"/>
      <c r="E41" s="618"/>
      <c r="F41" s="618"/>
      <c r="G41" s="618"/>
      <c r="H41" s="618"/>
      <c r="I41" s="678"/>
      <c r="J41" s="678"/>
      <c r="K41" s="678"/>
      <c r="L41" s="678"/>
      <c r="M41" s="678"/>
      <c r="N41" s="678"/>
      <c r="O41" s="678"/>
      <c r="P41" s="678"/>
      <c r="Q41" s="678"/>
      <c r="R41" s="678"/>
      <c r="S41" s="678"/>
      <c r="T41" s="678"/>
      <c r="U41" s="678"/>
      <c r="V41" s="678"/>
      <c r="W41" s="678"/>
      <c r="X41" s="678"/>
      <c r="Y41" s="678"/>
      <c r="Z41" s="678"/>
      <c r="AA41" s="678"/>
      <c r="AB41" s="678"/>
      <c r="AC41" s="678"/>
      <c r="AD41" s="678"/>
      <c r="AE41" s="678"/>
      <c r="AF41" s="678"/>
      <c r="AG41" s="678"/>
      <c r="AH41" s="678"/>
      <c r="AI41" s="678"/>
      <c r="AJ41" s="678"/>
      <c r="AK41" s="640"/>
      <c r="AL41" s="640"/>
      <c r="AM41" s="640"/>
      <c r="AN41" s="641"/>
      <c r="AO41" s="641"/>
      <c r="AP41" s="641"/>
      <c r="AQ41" s="641"/>
      <c r="AR41" s="639"/>
    </row>
    <row r="42" spans="2:61" s="638" customFormat="1" ht="14.25" customHeight="1">
      <c r="B42" s="619"/>
      <c r="C42" s="618"/>
      <c r="D42" s="618"/>
      <c r="E42" s="618"/>
      <c r="F42" s="618"/>
      <c r="G42" s="1218"/>
      <c r="H42" s="1219"/>
      <c r="I42" s="1219"/>
      <c r="J42" s="1219"/>
      <c r="K42" s="1219"/>
      <c r="L42" s="1219"/>
      <c r="M42" s="1219"/>
      <c r="N42" s="1219"/>
      <c r="O42" s="1219"/>
      <c r="P42" s="1219"/>
      <c r="Q42" s="1219"/>
      <c r="R42" s="1219"/>
      <c r="S42" s="1219"/>
      <c r="T42" s="1219"/>
      <c r="U42" s="1219"/>
      <c r="V42" s="1219"/>
      <c r="W42" s="1219"/>
      <c r="X42" s="1219"/>
      <c r="Y42" s="1219"/>
      <c r="Z42" s="1219"/>
      <c r="AA42" s="1219"/>
      <c r="AB42" s="1219"/>
      <c r="AC42" s="1219"/>
      <c r="AD42" s="1219"/>
      <c r="AE42" s="1219"/>
      <c r="AF42" s="1219"/>
      <c r="AG42" s="1219"/>
      <c r="AH42" s="1219"/>
      <c r="AI42" s="1219"/>
      <c r="AJ42" s="1219"/>
      <c r="AK42" s="1219"/>
      <c r="AL42" s="1219"/>
      <c r="AM42" s="1219"/>
      <c r="AN42" s="1219"/>
      <c r="AO42" s="1219"/>
      <c r="AP42" s="1219"/>
      <c r="AQ42" s="1219"/>
      <c r="AR42" s="1220"/>
    </row>
    <row r="43" spans="2:61" s="638" customFormat="1" ht="14.25" customHeight="1">
      <c r="B43" s="645"/>
      <c r="C43" s="618"/>
      <c r="D43" s="618"/>
      <c r="E43" s="618"/>
      <c r="F43" s="618"/>
      <c r="G43" s="678"/>
      <c r="H43" s="678"/>
      <c r="I43" s="678"/>
      <c r="J43" s="678"/>
      <c r="K43" s="678"/>
      <c r="L43" s="678"/>
      <c r="M43" s="678"/>
      <c r="N43" s="678"/>
      <c r="O43" s="678"/>
      <c r="P43" s="678"/>
      <c r="Q43" s="644"/>
      <c r="R43" s="678"/>
      <c r="S43" s="678"/>
      <c r="T43" s="678"/>
      <c r="U43" s="678"/>
      <c r="V43" s="678"/>
      <c r="W43" s="678"/>
      <c r="X43" s="678"/>
      <c r="Y43" s="678"/>
      <c r="Z43" s="678"/>
      <c r="AA43" s="678"/>
      <c r="AB43" s="678"/>
      <c r="AC43" s="678"/>
      <c r="AD43" s="678"/>
      <c r="AE43" s="678"/>
      <c r="AF43" s="678"/>
      <c r="AG43" s="678"/>
      <c r="AH43" s="678"/>
      <c r="AI43" s="678"/>
      <c r="AJ43" s="678"/>
      <c r="AK43" s="678"/>
      <c r="AL43" s="678"/>
      <c r="AM43" s="643"/>
      <c r="AN43" s="643"/>
      <c r="AO43" s="640"/>
      <c r="AP43" s="640"/>
      <c r="AQ43" s="642"/>
      <c r="AR43" s="639"/>
    </row>
    <row r="44" spans="2:61" s="638" customFormat="1" ht="14.25" customHeight="1">
      <c r="B44" s="619"/>
      <c r="C44" s="618"/>
      <c r="D44" s="618"/>
      <c r="E44" s="618"/>
      <c r="F44" s="618"/>
      <c r="G44" s="1218"/>
      <c r="H44" s="1219"/>
      <c r="I44" s="1219"/>
      <c r="J44" s="1219"/>
      <c r="K44" s="1219"/>
      <c r="L44" s="1219"/>
      <c r="M44" s="1219"/>
      <c r="N44" s="1219"/>
      <c r="O44" s="1219"/>
      <c r="P44" s="1219"/>
      <c r="Q44" s="1219"/>
      <c r="R44" s="1219"/>
      <c r="S44" s="1219"/>
      <c r="T44" s="1219"/>
      <c r="U44" s="1219"/>
      <c r="V44" s="1219"/>
      <c r="W44" s="1219"/>
      <c r="X44" s="1219"/>
      <c r="Y44" s="1219"/>
      <c r="Z44" s="1219"/>
      <c r="AA44" s="1219"/>
      <c r="AB44" s="1219"/>
      <c r="AC44" s="1219"/>
      <c r="AD44" s="1219"/>
      <c r="AE44" s="1219"/>
      <c r="AF44" s="1219"/>
      <c r="AG44" s="1219"/>
      <c r="AH44" s="1219"/>
      <c r="AI44" s="1219"/>
      <c r="AJ44" s="1219"/>
      <c r="AK44" s="1219"/>
      <c r="AL44" s="1219"/>
      <c r="AM44" s="1219"/>
      <c r="AN44" s="1219"/>
      <c r="AO44" s="1219"/>
      <c r="AP44" s="1219"/>
      <c r="AQ44" s="1219"/>
      <c r="AR44" s="1220"/>
    </row>
    <row r="45" spans="2:61" s="638" customFormat="1" ht="14.25" customHeight="1">
      <c r="B45" s="619"/>
      <c r="C45" s="618"/>
      <c r="D45" s="618"/>
      <c r="E45" s="618"/>
      <c r="F45" s="618"/>
      <c r="G45" s="618"/>
      <c r="H45" s="1223" t="s">
        <v>1559</v>
      </c>
      <c r="I45" s="1223"/>
      <c r="J45" s="1223"/>
      <c r="K45" s="1223"/>
      <c r="L45" s="1223"/>
      <c r="M45" s="1223"/>
      <c r="N45" s="1223"/>
      <c r="O45" s="1223"/>
      <c r="P45" s="1223"/>
      <c r="Q45" s="1223"/>
      <c r="R45" s="1223"/>
      <c r="S45" s="1223"/>
      <c r="T45" s="1223"/>
      <c r="U45" s="1223"/>
      <c r="V45" s="1223"/>
      <c r="W45" s="1223"/>
      <c r="X45" s="1223"/>
      <c r="Y45" s="1223"/>
      <c r="Z45" s="1223"/>
      <c r="AA45" s="1223"/>
      <c r="AB45" s="1223"/>
      <c r="AC45" s="1223"/>
      <c r="AD45" s="1223"/>
      <c r="AE45" s="1223"/>
      <c r="AF45" s="1223"/>
      <c r="AG45" s="1223"/>
      <c r="AH45" s="1223"/>
      <c r="AI45" s="1223"/>
      <c r="AJ45" s="1223"/>
      <c r="AK45" s="1223"/>
      <c r="AL45" s="641"/>
      <c r="AM45" s="640"/>
      <c r="AN45" s="640"/>
      <c r="AO45" s="640"/>
      <c r="AP45" s="640"/>
      <c r="AQ45" s="640"/>
      <c r="AR45" s="639"/>
    </row>
    <row r="46" spans="2:61">
      <c r="B46" s="637"/>
      <c r="C46" s="636"/>
      <c r="D46" s="636"/>
      <c r="E46" s="636"/>
      <c r="F46" s="636"/>
      <c r="G46" s="636"/>
      <c r="H46" s="636"/>
      <c r="I46" s="636"/>
      <c r="J46" s="636"/>
      <c r="K46" s="636"/>
      <c r="L46" s="636"/>
      <c r="M46" s="636"/>
      <c r="N46" s="636"/>
      <c r="O46" s="636"/>
      <c r="P46" s="636"/>
      <c r="Q46" s="636"/>
      <c r="R46" s="636"/>
      <c r="S46" s="636"/>
      <c r="T46" s="636"/>
      <c r="U46" s="636"/>
      <c r="V46" s="636"/>
      <c r="W46" s="636"/>
      <c r="X46" s="636"/>
      <c r="Y46" s="636"/>
      <c r="Z46" s="636"/>
      <c r="AA46" s="636"/>
      <c r="AB46" s="636"/>
      <c r="AC46" s="636"/>
      <c r="AD46" s="636"/>
      <c r="AE46" s="636"/>
      <c r="AF46" s="636"/>
      <c r="AG46" s="636"/>
      <c r="AH46" s="636"/>
      <c r="AI46" s="636"/>
      <c r="AJ46" s="636"/>
      <c r="AK46" s="636"/>
      <c r="AL46" s="636"/>
      <c r="AM46" s="636"/>
      <c r="AN46" s="636"/>
      <c r="AO46" s="636"/>
      <c r="AP46" s="636"/>
      <c r="AQ46" s="636"/>
      <c r="AR46" s="635"/>
      <c r="AS46" s="618"/>
      <c r="AT46" s="618"/>
      <c r="AU46" s="618"/>
      <c r="AV46" s="618"/>
      <c r="AW46" s="618"/>
      <c r="AX46" s="618"/>
      <c r="AY46" s="618"/>
      <c r="AZ46" s="618"/>
      <c r="BA46" s="618"/>
      <c r="BB46" s="618"/>
      <c r="BC46" s="618"/>
      <c r="BD46" s="618"/>
      <c r="BE46" s="618"/>
      <c r="BF46" s="618"/>
      <c r="BG46" s="618"/>
      <c r="BH46" s="618"/>
      <c r="BI46" s="618"/>
    </row>
    <row r="47" spans="2:61">
      <c r="B47" s="619"/>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7"/>
    </row>
    <row r="48" spans="2:61">
      <c r="B48" s="619"/>
      <c r="C48" s="618"/>
      <c r="D48" s="618"/>
      <c r="E48" s="618"/>
      <c r="F48" s="618"/>
      <c r="G48" s="624"/>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23"/>
      <c r="AF48" s="624"/>
      <c r="AG48" s="618"/>
      <c r="AH48" s="618"/>
      <c r="AI48" s="618"/>
      <c r="AJ48" s="618"/>
      <c r="AK48" s="618"/>
      <c r="AL48" s="618"/>
      <c r="AM48" s="634"/>
      <c r="AN48" s="618"/>
      <c r="AO48" s="618"/>
      <c r="AP48" s="634"/>
      <c r="AQ48" s="618"/>
      <c r="AR48" s="617"/>
    </row>
    <row r="49" spans="2:44">
      <c r="B49" s="619"/>
      <c r="C49" s="618"/>
      <c r="D49" s="618"/>
      <c r="E49" s="618"/>
      <c r="F49" s="618"/>
      <c r="G49" s="624"/>
      <c r="H49" s="618"/>
      <c r="I49" s="618"/>
      <c r="J49" s="618"/>
      <c r="K49" s="618"/>
      <c r="L49" s="618"/>
      <c r="M49" s="618"/>
      <c r="N49" s="618"/>
      <c r="O49" s="618"/>
      <c r="P49" s="618"/>
      <c r="Q49" s="618"/>
      <c r="R49" s="618"/>
      <c r="S49" s="618"/>
      <c r="T49" s="618"/>
      <c r="U49" s="618"/>
      <c r="V49" s="618"/>
      <c r="W49" s="618"/>
      <c r="X49" s="618"/>
      <c r="Y49" s="618"/>
      <c r="Z49" s="618"/>
      <c r="AA49" s="618"/>
      <c r="AB49" s="618"/>
      <c r="AC49" s="618"/>
      <c r="AD49" s="618"/>
      <c r="AE49" s="623"/>
      <c r="AF49" s="624"/>
      <c r="AG49" s="618"/>
      <c r="AH49" s="618"/>
      <c r="AI49" s="618"/>
      <c r="AJ49" s="633"/>
      <c r="AK49" s="633"/>
      <c r="AL49" s="633"/>
      <c r="AM49" s="633" t="s">
        <v>1558</v>
      </c>
      <c r="AN49" s="633"/>
      <c r="AO49" s="633"/>
      <c r="AP49" s="633" t="s">
        <v>1557</v>
      </c>
      <c r="AQ49" s="618"/>
      <c r="AR49" s="617"/>
    </row>
    <row r="50" spans="2:44">
      <c r="B50" s="619"/>
      <c r="C50" s="618"/>
      <c r="D50" s="618"/>
      <c r="E50" s="618"/>
      <c r="F50" s="618"/>
      <c r="G50" s="622"/>
      <c r="H50" s="621"/>
      <c r="I50" s="621"/>
      <c r="J50" s="621"/>
      <c r="K50" s="621"/>
      <c r="L50" s="621"/>
      <c r="M50" s="621"/>
      <c r="N50" s="621"/>
      <c r="O50" s="621"/>
      <c r="P50" s="621"/>
      <c r="Q50" s="621"/>
      <c r="R50" s="621"/>
      <c r="S50" s="621"/>
      <c r="T50" s="621"/>
      <c r="U50" s="621"/>
      <c r="V50" s="621"/>
      <c r="W50" s="621"/>
      <c r="X50" s="621"/>
      <c r="Y50" s="621"/>
      <c r="Z50" s="621"/>
      <c r="AA50" s="621"/>
      <c r="AB50" s="621"/>
      <c r="AC50" s="621"/>
      <c r="AD50" s="621"/>
      <c r="AE50" s="620"/>
      <c r="AF50" s="622"/>
      <c r="AG50" s="621"/>
      <c r="AH50" s="621"/>
      <c r="AI50" s="621"/>
      <c r="AJ50" s="621"/>
      <c r="AK50" s="621"/>
      <c r="AL50" s="621"/>
      <c r="AM50" s="621"/>
      <c r="AN50" s="621"/>
      <c r="AO50" s="621"/>
      <c r="AP50" s="621"/>
      <c r="AQ50" s="621"/>
      <c r="AR50" s="632"/>
    </row>
    <row r="51" spans="2:44" ht="31.5" customHeight="1">
      <c r="B51" s="619"/>
      <c r="C51" s="618"/>
      <c r="D51" s="618"/>
      <c r="E51" s="618"/>
      <c r="F51" s="618"/>
      <c r="G51" s="618"/>
      <c r="H51" s="618"/>
      <c r="I51" s="618"/>
      <c r="J51" s="618"/>
      <c r="K51" s="618"/>
      <c r="L51" s="618"/>
      <c r="M51" s="618"/>
      <c r="N51" s="618"/>
      <c r="O51" s="618"/>
      <c r="P51" s="618"/>
      <c r="Q51" s="618"/>
      <c r="R51" s="618"/>
      <c r="S51" s="618"/>
      <c r="T51" s="618"/>
      <c r="U51" s="618"/>
      <c r="V51" s="618"/>
      <c r="W51" s="618"/>
      <c r="X51" s="618"/>
      <c r="Y51" s="618"/>
      <c r="Z51" s="618"/>
      <c r="AA51" s="618"/>
      <c r="AB51" s="618"/>
      <c r="AC51" s="618"/>
      <c r="AD51" s="618"/>
      <c r="AE51" s="618"/>
      <c r="AF51" s="618"/>
      <c r="AG51" s="1224" t="s">
        <v>1556</v>
      </c>
      <c r="AH51" s="1224"/>
      <c r="AI51" s="1224"/>
      <c r="AJ51" s="1224"/>
      <c r="AK51" s="1224"/>
      <c r="AL51" s="1224"/>
      <c r="AM51" s="1224"/>
      <c r="AN51" s="1224"/>
      <c r="AO51" s="1224"/>
      <c r="AP51" s="1224"/>
      <c r="AQ51" s="1224"/>
      <c r="AR51" s="1225"/>
    </row>
    <row r="52" spans="2:44">
      <c r="B52" s="619"/>
      <c r="C52" s="618"/>
      <c r="D52" s="618"/>
      <c r="E52" s="618"/>
      <c r="F52" s="618"/>
      <c r="G52" s="618"/>
      <c r="H52" s="618"/>
      <c r="I52" s="618"/>
      <c r="J52" s="618"/>
      <c r="K52" s="618"/>
      <c r="L52" s="618"/>
      <c r="M52" s="618"/>
      <c r="N52" s="618"/>
      <c r="O52" s="618"/>
      <c r="P52" s="618"/>
      <c r="Q52" s="618"/>
      <c r="R52" s="618"/>
      <c r="S52" s="618"/>
      <c r="T52" s="618"/>
      <c r="U52" s="618"/>
      <c r="V52" s="618"/>
      <c r="W52" s="618"/>
      <c r="X52" s="618"/>
      <c r="Y52" s="618"/>
      <c r="Z52" s="618"/>
      <c r="AA52" s="618"/>
      <c r="AB52" s="618"/>
      <c r="AC52" s="618"/>
      <c r="AD52" s="618"/>
      <c r="AE52" s="618"/>
      <c r="AF52" s="618"/>
      <c r="AG52" s="618"/>
      <c r="AH52" s="618"/>
      <c r="AI52" s="618"/>
      <c r="AJ52" s="618"/>
      <c r="AK52" s="618"/>
      <c r="AL52" s="618"/>
      <c r="AM52" s="618"/>
      <c r="AN52" s="618"/>
      <c r="AO52" s="618"/>
      <c r="AP52" s="618"/>
      <c r="AQ52" s="618"/>
      <c r="AR52" s="617"/>
    </row>
    <row r="53" spans="2:44">
      <c r="B53" s="619"/>
      <c r="C53" s="618"/>
      <c r="D53" s="618"/>
      <c r="E53" s="618"/>
      <c r="F53" s="618"/>
      <c r="G53" s="1218" t="s">
        <v>1691</v>
      </c>
      <c r="H53" s="1219"/>
      <c r="I53" s="1219"/>
      <c r="J53" s="1219"/>
      <c r="K53" s="1219"/>
      <c r="L53" s="1219"/>
      <c r="M53" s="1219"/>
      <c r="N53" s="1219"/>
      <c r="O53" s="1219"/>
      <c r="P53" s="1219"/>
      <c r="Q53" s="1219"/>
      <c r="R53" s="1219"/>
      <c r="S53" s="1219"/>
      <c r="T53" s="1219"/>
      <c r="U53" s="1219"/>
      <c r="V53" s="1219"/>
      <c r="W53" s="1219"/>
      <c r="X53" s="1219"/>
      <c r="Y53" s="1219"/>
      <c r="Z53" s="1219"/>
      <c r="AA53" s="1219"/>
      <c r="AB53" s="1219"/>
      <c r="AC53" s="1219"/>
      <c r="AD53" s="1219"/>
      <c r="AE53" s="1219"/>
      <c r="AF53" s="1219"/>
      <c r="AG53" s="1219"/>
      <c r="AH53" s="1219"/>
      <c r="AI53" s="1219"/>
      <c r="AJ53" s="1219"/>
      <c r="AK53" s="1219"/>
      <c r="AL53" s="1219"/>
      <c r="AM53" s="1219"/>
      <c r="AN53" s="1219"/>
      <c r="AO53" s="1219"/>
      <c r="AP53" s="1219"/>
      <c r="AQ53" s="1219"/>
      <c r="AR53" s="1220"/>
    </row>
    <row r="54" spans="2:44">
      <c r="B54" s="619"/>
      <c r="C54" s="618"/>
      <c r="D54" s="618"/>
      <c r="E54" s="618"/>
      <c r="F54" s="618"/>
      <c r="G54" s="628"/>
      <c r="H54" s="1211" t="s">
        <v>1552</v>
      </c>
      <c r="I54" s="1211"/>
      <c r="J54" s="1211"/>
      <c r="K54" s="1211"/>
      <c r="L54" s="1211"/>
      <c r="M54" s="1211"/>
      <c r="N54" s="1211"/>
      <c r="O54" s="1211"/>
      <c r="P54" s="1211"/>
      <c r="Q54" s="1211"/>
      <c r="R54" s="1211"/>
      <c r="S54" s="1211"/>
      <c r="T54" s="1211"/>
      <c r="U54" s="1211"/>
      <c r="V54" s="1211"/>
      <c r="W54" s="1211"/>
      <c r="X54" s="618"/>
      <c r="Y54" s="618"/>
      <c r="Z54" s="618"/>
      <c r="AA54" s="618"/>
      <c r="AB54" s="1228" t="s">
        <v>1555</v>
      </c>
      <c r="AC54" s="1226"/>
      <c r="AD54" s="1226"/>
      <c r="AE54" s="1226"/>
      <c r="AF54" s="1226"/>
      <c r="AG54" s="1226"/>
      <c r="AH54" s="1226"/>
      <c r="AI54" s="1226"/>
      <c r="AJ54" s="1227"/>
      <c r="AK54" s="1226" t="s">
        <v>1554</v>
      </c>
      <c r="AL54" s="1226"/>
      <c r="AM54" s="1226"/>
      <c r="AN54" s="1226"/>
      <c r="AO54" s="1226"/>
      <c r="AP54" s="1226"/>
      <c r="AQ54" s="1227"/>
      <c r="AR54" s="617"/>
    </row>
    <row r="55" spans="2:44">
      <c r="B55" s="619"/>
      <c r="C55" s="618"/>
      <c r="D55" s="618"/>
      <c r="E55" s="618"/>
      <c r="F55" s="618"/>
      <c r="G55" s="628"/>
      <c r="H55" s="628"/>
      <c r="I55" s="628"/>
      <c r="J55" s="628"/>
      <c r="K55" s="628"/>
      <c r="L55" s="628"/>
      <c r="M55" s="628"/>
      <c r="N55" s="628"/>
      <c r="O55" s="628"/>
      <c r="P55" s="628"/>
      <c r="Q55" s="628"/>
      <c r="R55" s="628"/>
      <c r="S55" s="628"/>
      <c r="T55" s="628"/>
      <c r="U55" s="628"/>
      <c r="V55" s="628"/>
      <c r="W55" s="628"/>
      <c r="X55" s="618"/>
      <c r="Y55" s="618"/>
      <c r="Z55" s="618"/>
      <c r="AA55" s="618"/>
      <c r="AB55" s="624"/>
      <c r="AC55" s="618"/>
      <c r="AD55" s="618"/>
      <c r="AE55" s="618"/>
      <c r="AF55" s="618"/>
      <c r="AG55" s="618"/>
      <c r="AH55" s="618"/>
      <c r="AI55" s="618"/>
      <c r="AJ55" s="623"/>
      <c r="AK55" s="618"/>
      <c r="AL55" s="618"/>
      <c r="AM55" s="618"/>
      <c r="AN55" s="618"/>
      <c r="AO55" s="618"/>
      <c r="AP55" s="618"/>
      <c r="AQ55" s="623"/>
      <c r="AR55" s="617"/>
    </row>
    <row r="56" spans="2:44">
      <c r="B56" s="619"/>
      <c r="C56" s="618"/>
      <c r="D56" s="618"/>
      <c r="E56" s="618"/>
      <c r="F56" s="618"/>
      <c r="G56" s="1208" t="s">
        <v>1553</v>
      </c>
      <c r="H56" s="1209"/>
      <c r="I56" s="1209"/>
      <c r="J56" s="1209"/>
      <c r="K56" s="1209"/>
      <c r="L56" s="1209"/>
      <c r="M56" s="1209"/>
      <c r="N56" s="1209"/>
      <c r="O56" s="1209"/>
      <c r="P56" s="1209"/>
      <c r="Q56" s="1209"/>
      <c r="R56" s="1209"/>
      <c r="S56" s="1209"/>
      <c r="T56" s="1209"/>
      <c r="U56" s="1209"/>
      <c r="V56" s="1209"/>
      <c r="W56" s="1210"/>
      <c r="X56" s="618"/>
      <c r="Y56" s="618"/>
      <c r="Z56" s="618"/>
      <c r="AA56" s="618"/>
      <c r="AB56" s="624"/>
      <c r="AC56" s="618"/>
      <c r="AD56" s="618"/>
      <c r="AE56" s="618"/>
      <c r="AF56" s="618"/>
      <c r="AG56" s="618"/>
      <c r="AH56" s="618"/>
      <c r="AI56" s="618"/>
      <c r="AJ56" s="623"/>
      <c r="AK56" s="618"/>
      <c r="AL56" s="618"/>
      <c r="AM56" s="618"/>
      <c r="AN56" s="618"/>
      <c r="AO56" s="618"/>
      <c r="AP56" s="618"/>
      <c r="AQ56" s="623"/>
      <c r="AR56" s="617"/>
    </row>
    <row r="57" spans="2:44">
      <c r="B57" s="619"/>
      <c r="C57" s="618"/>
      <c r="D57" s="618"/>
      <c r="E57" s="618"/>
      <c r="F57" s="618"/>
      <c r="G57" s="628"/>
      <c r="H57" s="1211" t="s">
        <v>1552</v>
      </c>
      <c r="I57" s="1211"/>
      <c r="J57" s="1211"/>
      <c r="K57" s="1211"/>
      <c r="L57" s="1211"/>
      <c r="M57" s="1211"/>
      <c r="N57" s="1211"/>
      <c r="O57" s="1211"/>
      <c r="P57" s="1211"/>
      <c r="Q57" s="1211"/>
      <c r="R57" s="1211"/>
      <c r="S57" s="1211"/>
      <c r="T57" s="1211"/>
      <c r="U57" s="1211"/>
      <c r="V57" s="1211"/>
      <c r="W57" s="1211"/>
      <c r="X57" s="618"/>
      <c r="Y57" s="618"/>
      <c r="Z57" s="618"/>
      <c r="AA57" s="618"/>
      <c r="AB57" s="1212" t="s">
        <v>1690</v>
      </c>
      <c r="AC57" s="1213"/>
      <c r="AD57" s="1213"/>
      <c r="AE57" s="1213"/>
      <c r="AF57" s="1213"/>
      <c r="AG57" s="1213"/>
      <c r="AH57" s="1213"/>
      <c r="AI57" s="1213"/>
      <c r="AJ57" s="1214"/>
      <c r="AK57" s="1215">
        <v>208254601</v>
      </c>
      <c r="AL57" s="1216"/>
      <c r="AM57" s="1216"/>
      <c r="AN57" s="1216"/>
      <c r="AO57" s="1216"/>
      <c r="AP57" s="1216"/>
      <c r="AQ57" s="1217"/>
      <c r="AR57" s="617"/>
    </row>
    <row r="58" spans="2:44">
      <c r="B58" s="619"/>
      <c r="C58" s="618"/>
      <c r="D58" s="618"/>
      <c r="E58" s="618"/>
      <c r="F58" s="618"/>
      <c r="G58" s="628"/>
      <c r="H58" s="628"/>
      <c r="I58" s="628"/>
      <c r="J58" s="628"/>
      <c r="K58" s="628"/>
      <c r="L58" s="628"/>
      <c r="M58" s="628"/>
      <c r="N58" s="628"/>
      <c r="O58" s="628"/>
      <c r="P58" s="628"/>
      <c r="Q58" s="628"/>
      <c r="R58" s="628"/>
      <c r="S58" s="628"/>
      <c r="T58" s="628"/>
      <c r="U58" s="628"/>
      <c r="V58" s="628"/>
      <c r="W58" s="628"/>
      <c r="X58" s="618"/>
      <c r="Y58" s="618"/>
      <c r="Z58" s="618"/>
      <c r="AA58" s="618"/>
      <c r="AB58" s="1212"/>
      <c r="AC58" s="1213"/>
      <c r="AD58" s="1213"/>
      <c r="AE58" s="1213"/>
      <c r="AF58" s="1213"/>
      <c r="AG58" s="1213"/>
      <c r="AH58" s="1213"/>
      <c r="AI58" s="1213"/>
      <c r="AJ58" s="1214"/>
      <c r="AK58" s="1215"/>
      <c r="AL58" s="1216"/>
      <c r="AM58" s="1216"/>
      <c r="AN58" s="1216"/>
      <c r="AO58" s="1216"/>
      <c r="AP58" s="1216"/>
      <c r="AQ58" s="1217"/>
      <c r="AR58" s="617"/>
    </row>
    <row r="59" spans="2:44">
      <c r="B59" s="619"/>
      <c r="C59" s="618"/>
      <c r="D59" s="618"/>
      <c r="E59" s="618"/>
      <c r="F59" s="618"/>
      <c r="G59" s="1784">
        <v>46081</v>
      </c>
      <c r="H59" s="1209"/>
      <c r="I59" s="1209"/>
      <c r="J59" s="1209"/>
      <c r="K59" s="1209"/>
      <c r="L59" s="1209"/>
      <c r="M59" s="1209"/>
      <c r="N59" s="1209"/>
      <c r="O59" s="1209"/>
      <c r="P59" s="1209"/>
      <c r="Q59" s="1209"/>
      <c r="R59" s="1209"/>
      <c r="S59" s="1209"/>
      <c r="T59" s="1209"/>
      <c r="U59" s="1209"/>
      <c r="V59" s="1209"/>
      <c r="W59" s="1210"/>
      <c r="X59" s="618"/>
      <c r="Y59" s="618"/>
      <c r="Z59" s="618"/>
      <c r="AA59" s="618"/>
      <c r="AB59" s="631"/>
      <c r="AC59" s="630"/>
      <c r="AD59" s="630"/>
      <c r="AE59" s="630"/>
      <c r="AF59" s="630"/>
      <c r="AG59" s="630"/>
      <c r="AH59" s="630"/>
      <c r="AI59" s="630"/>
      <c r="AJ59" s="629"/>
      <c r="AK59" s="630"/>
      <c r="AL59" s="630"/>
      <c r="AM59" s="630"/>
      <c r="AN59" s="630"/>
      <c r="AO59" s="630"/>
      <c r="AP59" s="630"/>
      <c r="AQ59" s="629"/>
      <c r="AR59" s="617"/>
    </row>
    <row r="60" spans="2:44">
      <c r="B60" s="619"/>
      <c r="C60" s="618"/>
      <c r="D60" s="618"/>
      <c r="E60" s="618"/>
      <c r="F60" s="618"/>
      <c r="G60" s="628"/>
      <c r="H60" s="1211" t="s">
        <v>1551</v>
      </c>
      <c r="I60" s="1211"/>
      <c r="J60" s="1211"/>
      <c r="K60" s="1211"/>
      <c r="L60" s="1211"/>
      <c r="M60" s="1211"/>
      <c r="N60" s="1211"/>
      <c r="O60" s="1211"/>
      <c r="P60" s="1211"/>
      <c r="Q60" s="1211"/>
      <c r="R60" s="1211"/>
      <c r="S60" s="1211"/>
      <c r="T60" s="1211"/>
      <c r="U60" s="1211"/>
      <c r="V60" s="1211"/>
      <c r="W60" s="1211"/>
      <c r="X60" s="618"/>
      <c r="Y60" s="618"/>
      <c r="Z60" s="618"/>
      <c r="AA60" s="618"/>
      <c r="AB60" s="624"/>
      <c r="AC60" s="618"/>
      <c r="AD60" s="618"/>
      <c r="AE60" s="618"/>
      <c r="AF60" s="618"/>
      <c r="AG60" s="618"/>
      <c r="AH60" s="618"/>
      <c r="AI60" s="618"/>
      <c r="AJ60" s="623"/>
      <c r="AK60" s="618"/>
      <c r="AL60" s="618"/>
      <c r="AM60" s="618"/>
      <c r="AN60" s="618"/>
      <c r="AO60" s="618"/>
      <c r="AP60" s="618"/>
      <c r="AQ60" s="623"/>
      <c r="AR60" s="617"/>
    </row>
    <row r="61" spans="2:44">
      <c r="B61" s="619"/>
      <c r="C61" s="618"/>
      <c r="D61" s="618"/>
      <c r="E61" s="618"/>
      <c r="F61" s="618"/>
      <c r="G61" s="618"/>
      <c r="H61" s="618"/>
      <c r="I61" s="618"/>
      <c r="J61" s="618"/>
      <c r="K61" s="618"/>
      <c r="L61" s="618"/>
      <c r="M61" s="618"/>
      <c r="N61" s="618"/>
      <c r="O61" s="618"/>
      <c r="P61" s="618"/>
      <c r="Q61" s="618"/>
      <c r="R61" s="618"/>
      <c r="S61" s="618"/>
      <c r="T61" s="618"/>
      <c r="U61" s="618"/>
      <c r="V61" s="618"/>
      <c r="W61" s="618"/>
      <c r="X61" s="618"/>
      <c r="Y61" s="618"/>
      <c r="Z61" s="618"/>
      <c r="AA61" s="618"/>
      <c r="AB61" s="624"/>
      <c r="AC61" s="618"/>
      <c r="AD61" s="618"/>
      <c r="AE61" s="618"/>
      <c r="AF61" s="618"/>
      <c r="AG61" s="618"/>
      <c r="AH61" s="618"/>
      <c r="AI61" s="618"/>
      <c r="AJ61" s="623"/>
      <c r="AK61" s="618"/>
      <c r="AL61" s="618"/>
      <c r="AM61" s="618"/>
      <c r="AN61" s="618"/>
      <c r="AO61" s="618"/>
      <c r="AP61" s="618"/>
      <c r="AQ61" s="623"/>
      <c r="AR61" s="617"/>
    </row>
    <row r="62" spans="2:44">
      <c r="B62" s="619"/>
      <c r="C62" s="618"/>
      <c r="D62" s="618"/>
      <c r="E62" s="618"/>
      <c r="F62" s="618"/>
      <c r="G62" s="627"/>
      <c r="H62" s="626"/>
      <c r="I62" s="626"/>
      <c r="J62" s="626"/>
      <c r="K62" s="626"/>
      <c r="L62" s="626"/>
      <c r="M62" s="626"/>
      <c r="N62" s="626"/>
      <c r="O62" s="626"/>
      <c r="P62" s="626"/>
      <c r="Q62" s="626"/>
      <c r="R62" s="626"/>
      <c r="S62" s="626"/>
      <c r="T62" s="626"/>
      <c r="U62" s="626"/>
      <c r="V62" s="626"/>
      <c r="W62" s="625"/>
      <c r="X62" s="618"/>
      <c r="Y62" s="618"/>
      <c r="Z62" s="618"/>
      <c r="AA62" s="618"/>
      <c r="AB62" s="624"/>
      <c r="AC62" s="618"/>
      <c r="AD62" s="618"/>
      <c r="AE62" s="618"/>
      <c r="AF62" s="618"/>
      <c r="AG62" s="618"/>
      <c r="AH62" s="618"/>
      <c r="AI62" s="618"/>
      <c r="AJ62" s="623"/>
      <c r="AK62" s="618"/>
      <c r="AL62" s="618"/>
      <c r="AM62" s="618"/>
      <c r="AN62" s="618"/>
      <c r="AO62" s="618"/>
      <c r="AP62" s="618"/>
      <c r="AQ62" s="623"/>
      <c r="AR62" s="617"/>
    </row>
    <row r="63" spans="2:44">
      <c r="B63" s="619"/>
      <c r="C63" s="618"/>
      <c r="D63" s="618"/>
      <c r="E63" s="618"/>
      <c r="F63" s="618"/>
      <c r="G63" s="624"/>
      <c r="H63" s="618"/>
      <c r="I63" s="618"/>
      <c r="J63" s="618"/>
      <c r="K63" s="618"/>
      <c r="L63" s="618"/>
      <c r="M63" s="618"/>
      <c r="N63" s="618"/>
      <c r="O63" s="618"/>
      <c r="P63" s="618"/>
      <c r="Q63" s="618"/>
      <c r="R63" s="618"/>
      <c r="S63" s="618"/>
      <c r="T63" s="618"/>
      <c r="U63" s="618"/>
      <c r="V63" s="618"/>
      <c r="W63" s="623"/>
      <c r="X63" s="618"/>
      <c r="Y63" s="618"/>
      <c r="Z63" s="618"/>
      <c r="AA63" s="618"/>
      <c r="AB63" s="624"/>
      <c r="AC63" s="618"/>
      <c r="AD63" s="618"/>
      <c r="AE63" s="618"/>
      <c r="AF63" s="618"/>
      <c r="AG63" s="618"/>
      <c r="AH63" s="618"/>
      <c r="AI63" s="618"/>
      <c r="AJ63" s="623"/>
      <c r="AK63" s="618"/>
      <c r="AL63" s="618"/>
      <c r="AM63" s="618"/>
      <c r="AN63" s="618"/>
      <c r="AO63" s="618"/>
      <c r="AP63" s="618"/>
      <c r="AQ63" s="623"/>
      <c r="AR63" s="617"/>
    </row>
    <row r="64" spans="2:44">
      <c r="B64" s="619"/>
      <c r="C64" s="618"/>
      <c r="D64" s="618"/>
      <c r="E64" s="618"/>
      <c r="F64" s="618"/>
      <c r="G64" s="624"/>
      <c r="H64" s="618"/>
      <c r="I64" s="618"/>
      <c r="J64" s="618"/>
      <c r="K64" s="618"/>
      <c r="L64" s="618"/>
      <c r="M64" s="618"/>
      <c r="N64" s="618"/>
      <c r="O64" s="618"/>
      <c r="P64" s="618"/>
      <c r="Q64" s="618"/>
      <c r="R64" s="618"/>
      <c r="S64" s="618"/>
      <c r="T64" s="618"/>
      <c r="U64" s="618"/>
      <c r="V64" s="618"/>
      <c r="W64" s="623"/>
      <c r="X64" s="618"/>
      <c r="Y64" s="618"/>
      <c r="Z64" s="618"/>
      <c r="AA64" s="618"/>
      <c r="AB64" s="624"/>
      <c r="AC64" s="618"/>
      <c r="AD64" s="618"/>
      <c r="AE64" s="618"/>
      <c r="AF64" s="618"/>
      <c r="AG64" s="618"/>
      <c r="AH64" s="618"/>
      <c r="AI64" s="618"/>
      <c r="AJ64" s="623"/>
      <c r="AK64" s="618"/>
      <c r="AL64" s="618"/>
      <c r="AM64" s="618"/>
      <c r="AN64" s="618"/>
      <c r="AO64" s="618"/>
      <c r="AP64" s="618"/>
      <c r="AQ64" s="623"/>
      <c r="AR64" s="617"/>
    </row>
    <row r="65" spans="2:44">
      <c r="B65" s="619"/>
      <c r="C65" s="618"/>
      <c r="D65" s="618"/>
      <c r="E65" s="618"/>
      <c r="F65" s="618"/>
      <c r="G65" s="622"/>
      <c r="H65" s="621"/>
      <c r="I65" s="621"/>
      <c r="J65" s="621"/>
      <c r="K65" s="621"/>
      <c r="L65" s="621"/>
      <c r="M65" s="621"/>
      <c r="N65" s="621"/>
      <c r="O65" s="621"/>
      <c r="P65" s="621"/>
      <c r="Q65" s="621"/>
      <c r="R65" s="621"/>
      <c r="S65" s="621"/>
      <c r="T65" s="621"/>
      <c r="U65" s="621"/>
      <c r="V65" s="621"/>
      <c r="W65" s="620"/>
      <c r="X65" s="618"/>
      <c r="Y65" s="618"/>
      <c r="Z65" s="618"/>
      <c r="AA65" s="618"/>
      <c r="AB65" s="622"/>
      <c r="AC65" s="621"/>
      <c r="AD65" s="621"/>
      <c r="AE65" s="621"/>
      <c r="AF65" s="621"/>
      <c r="AG65" s="621"/>
      <c r="AH65" s="621"/>
      <c r="AI65" s="621"/>
      <c r="AJ65" s="620"/>
      <c r="AK65" s="621"/>
      <c r="AL65" s="621"/>
      <c r="AM65" s="621"/>
      <c r="AN65" s="621"/>
      <c r="AO65" s="621"/>
      <c r="AP65" s="621"/>
      <c r="AQ65" s="620"/>
      <c r="AR65" s="617"/>
    </row>
    <row r="66" spans="2:44">
      <c r="B66" s="619"/>
      <c r="C66" s="618"/>
      <c r="D66" s="618"/>
      <c r="E66" s="618"/>
      <c r="F66" s="618"/>
      <c r="G66" s="618"/>
      <c r="H66" s="1211" t="s">
        <v>1550</v>
      </c>
      <c r="I66" s="1211"/>
      <c r="J66" s="1211"/>
      <c r="K66" s="1211"/>
      <c r="L66" s="1211"/>
      <c r="M66" s="1211"/>
      <c r="N66" s="1211"/>
      <c r="O66" s="1211"/>
      <c r="P66" s="1211"/>
      <c r="Q66" s="1211"/>
      <c r="R66" s="1211"/>
      <c r="S66" s="1211"/>
      <c r="T66" s="1211"/>
      <c r="U66" s="618"/>
      <c r="V66" s="618"/>
      <c r="W66" s="618"/>
      <c r="X66" s="618"/>
      <c r="Y66" s="618"/>
      <c r="Z66" s="618"/>
      <c r="AA66" s="618"/>
      <c r="AB66" s="618"/>
      <c r="AC66" s="618"/>
      <c r="AD66" s="618"/>
      <c r="AE66" s="618"/>
      <c r="AF66" s="618"/>
      <c r="AG66" s="618"/>
      <c r="AH66" s="618"/>
      <c r="AI66" s="618"/>
      <c r="AJ66" s="618"/>
      <c r="AK66" s="618"/>
      <c r="AL66" s="618"/>
      <c r="AM66" s="618"/>
      <c r="AN66" s="618"/>
      <c r="AO66" s="618"/>
      <c r="AP66" s="618"/>
      <c r="AQ66" s="618"/>
      <c r="AR66" s="617"/>
    </row>
    <row r="67" spans="2:44" ht="15.75" thickBot="1">
      <c r="B67" s="616"/>
      <c r="C67" s="615"/>
      <c r="D67" s="615"/>
      <c r="E67" s="615"/>
      <c r="F67" s="615"/>
      <c r="G67" s="615"/>
      <c r="H67" s="615"/>
      <c r="I67" s="615"/>
      <c r="J67" s="615"/>
      <c r="K67" s="615"/>
      <c r="L67" s="615"/>
      <c r="M67" s="615"/>
      <c r="N67" s="615"/>
      <c r="O67" s="615"/>
      <c r="P67" s="615"/>
      <c r="Q67" s="615"/>
      <c r="R67" s="615"/>
      <c r="S67" s="615"/>
      <c r="T67" s="615"/>
      <c r="U67" s="615"/>
      <c r="V67" s="615"/>
      <c r="W67" s="615"/>
      <c r="X67" s="615"/>
      <c r="Y67" s="615"/>
      <c r="Z67" s="615"/>
      <c r="AA67" s="615"/>
      <c r="AB67" s="615"/>
      <c r="AC67" s="615"/>
      <c r="AD67" s="615"/>
      <c r="AE67" s="615"/>
      <c r="AF67" s="615"/>
      <c r="AG67" s="615"/>
      <c r="AH67" s="615"/>
      <c r="AI67" s="615"/>
      <c r="AJ67" s="615"/>
      <c r="AK67" s="615"/>
      <c r="AL67" s="615"/>
      <c r="AM67" s="615"/>
      <c r="AN67" s="615"/>
      <c r="AO67" s="615"/>
      <c r="AP67" s="615"/>
      <c r="AQ67" s="615"/>
      <c r="AR67" s="614"/>
    </row>
  </sheetData>
  <mergeCells count="59">
    <mergeCell ref="AB57:AJ57"/>
    <mergeCell ref="AK57:AQ57"/>
    <mergeCell ref="G53:AR53"/>
    <mergeCell ref="G30:AK31"/>
    <mergeCell ref="G34:AR34"/>
    <mergeCell ref="G37:AR37"/>
    <mergeCell ref="AQ8:AR8"/>
    <mergeCell ref="S5:AR5"/>
    <mergeCell ref="B6:AB6"/>
    <mergeCell ref="AC6:AG6"/>
    <mergeCell ref="AI6:AR6"/>
    <mergeCell ref="AB10:AG10"/>
    <mergeCell ref="K8:T8"/>
    <mergeCell ref="AB16:AN16"/>
    <mergeCell ref="W12:Z12"/>
    <mergeCell ref="B7:G7"/>
    <mergeCell ref="E16:I16"/>
    <mergeCell ref="J16:P16"/>
    <mergeCell ref="W14:Z14"/>
    <mergeCell ref="AJ19:AP19"/>
    <mergeCell ref="AN23:AQ23"/>
    <mergeCell ref="R23:Z23"/>
    <mergeCell ref="G19:K19"/>
    <mergeCell ref="G22:AJ22"/>
    <mergeCell ref="AL22:AR22"/>
    <mergeCell ref="P19:V19"/>
    <mergeCell ref="AN26:AR26"/>
    <mergeCell ref="AE26:AK26"/>
    <mergeCell ref="G29:AO29"/>
    <mergeCell ref="W25:Z25"/>
    <mergeCell ref="AB26:AD26"/>
    <mergeCell ref="G26:L26"/>
    <mergeCell ref="Q26:T26"/>
    <mergeCell ref="G25:L25"/>
    <mergeCell ref="AA25:AF25"/>
    <mergeCell ref="Q25:T25"/>
    <mergeCell ref="AG25:AM25"/>
    <mergeCell ref="AN25:AR25"/>
    <mergeCell ref="G28:AR28"/>
    <mergeCell ref="H54:W54"/>
    <mergeCell ref="AB54:AJ54"/>
    <mergeCell ref="AK54:AQ54"/>
    <mergeCell ref="AK58:AQ58"/>
    <mergeCell ref="H57:W57"/>
    <mergeCell ref="G59:W59"/>
    <mergeCell ref="I32:AJ32"/>
    <mergeCell ref="G42:AR42"/>
    <mergeCell ref="G35:AO35"/>
    <mergeCell ref="G38:AO38"/>
    <mergeCell ref="G40:AO40"/>
    <mergeCell ref="G39:AO39"/>
    <mergeCell ref="AN32:AQ32"/>
    <mergeCell ref="G44:AR44"/>
    <mergeCell ref="H45:AK45"/>
    <mergeCell ref="AG51:AR51"/>
    <mergeCell ref="G56:W56"/>
    <mergeCell ref="H60:W60"/>
    <mergeCell ref="H66:T66"/>
    <mergeCell ref="AB58:AJ58"/>
  </mergeCells>
  <hyperlinks>
    <hyperlink ref="Q26" r:id="rId1" display="er@tgur.ji"/>
  </hyperlinks>
  <pageMargins left="0.70866141732283472" right="0.70866141732283472" top="0.74803149606299213" bottom="0.74803149606299213" header="0.31496062992125984" footer="0.31496062992125984"/>
  <pageSetup paperSize="9" scale="7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E47"/>
  <sheetViews>
    <sheetView topLeftCell="A22" workbookViewId="0">
      <selection activeCell="AU37" sqref="AU37"/>
    </sheetView>
  </sheetViews>
  <sheetFormatPr baseColWidth="10" defaultRowHeight="15"/>
  <cols>
    <col min="1" max="1" width="6" style="613" customWidth="1"/>
    <col min="2" max="2" width="2.7109375" style="613" customWidth="1"/>
    <col min="3" max="3" width="1" style="613" customWidth="1"/>
    <col min="4" max="4" width="4.28515625" style="613" customWidth="1"/>
    <col min="5" max="11" width="2.7109375" style="613" customWidth="1"/>
    <col min="12" max="12" width="1.5703125" style="613" customWidth="1"/>
    <col min="13" max="15" width="2.7109375" style="613" customWidth="1"/>
    <col min="16" max="16" width="1.42578125" style="613" customWidth="1"/>
    <col min="17" max="17" width="1.85546875" style="613" customWidth="1"/>
    <col min="18" max="18" width="2.85546875" style="613" customWidth="1"/>
    <col min="19" max="20" width="2.7109375" style="613" customWidth="1"/>
    <col min="21" max="21" width="2.85546875" style="613" customWidth="1"/>
    <col min="22" max="23" width="3.140625" style="613" customWidth="1"/>
    <col min="24" max="24" width="2.28515625" style="613" customWidth="1"/>
    <col min="25" max="25" width="2.7109375" style="613" customWidth="1"/>
    <col min="26" max="26" width="1.28515625" style="613" customWidth="1"/>
    <col min="27" max="27" width="1.140625" style="613" customWidth="1"/>
    <col min="28" max="28" width="2.7109375" style="613" customWidth="1"/>
    <col min="29" max="30" width="1.28515625" style="613" customWidth="1"/>
    <col min="31" max="31" width="3.42578125" style="613" customWidth="1"/>
    <col min="32" max="32" width="2.7109375" style="613" customWidth="1"/>
    <col min="33" max="33" width="6.7109375" style="613" customWidth="1"/>
    <col min="34" max="34" width="4.28515625" style="613" customWidth="1"/>
    <col min="35" max="35" width="3.7109375" style="613" customWidth="1"/>
    <col min="36" max="36" width="5.42578125" style="613" customWidth="1"/>
    <col min="37" max="37" width="2.7109375" style="613" customWidth="1"/>
    <col min="38" max="38" width="4.42578125" style="613" customWidth="1"/>
    <col min="39" max="54" width="2.7109375" style="613" customWidth="1"/>
    <col min="55" max="256" width="11.42578125" style="613"/>
    <col min="257" max="257" width="3.5703125" style="613" customWidth="1"/>
    <col min="258" max="258" width="2.7109375" style="613" customWidth="1"/>
    <col min="259" max="259" width="1" style="613" customWidth="1"/>
    <col min="260" max="260" width="4.28515625" style="613" customWidth="1"/>
    <col min="261" max="267" width="2.7109375" style="613" customWidth="1"/>
    <col min="268" max="268" width="1.5703125" style="613" customWidth="1"/>
    <col min="269" max="271" width="2.7109375" style="613" customWidth="1"/>
    <col min="272" max="272" width="1.42578125" style="613" customWidth="1"/>
    <col min="273" max="273" width="1.85546875" style="613" customWidth="1"/>
    <col min="274" max="274" width="2.85546875" style="613" customWidth="1"/>
    <col min="275" max="276" width="2.7109375" style="613" customWidth="1"/>
    <col min="277" max="277" width="2.85546875" style="613" customWidth="1"/>
    <col min="278" max="279" width="3.140625" style="613" customWidth="1"/>
    <col min="280" max="280" width="2.28515625" style="613" customWidth="1"/>
    <col min="281" max="281" width="2.7109375" style="613" customWidth="1"/>
    <col min="282" max="282" width="1.28515625" style="613" customWidth="1"/>
    <col min="283" max="283" width="1.140625" style="613" customWidth="1"/>
    <col min="284" max="284" width="2.7109375" style="613" customWidth="1"/>
    <col min="285" max="286" width="1.28515625" style="613" customWidth="1"/>
    <col min="287" max="287" width="3.42578125" style="613" customWidth="1"/>
    <col min="288" max="288" width="2.7109375" style="613" customWidth="1"/>
    <col min="289" max="289" width="6.7109375" style="613" customWidth="1"/>
    <col min="290" max="290" width="4.28515625" style="613" customWidth="1"/>
    <col min="291" max="291" width="3.7109375" style="613" customWidth="1"/>
    <col min="292" max="292" width="5.42578125" style="613" customWidth="1"/>
    <col min="293" max="293" width="2.7109375" style="613" customWidth="1"/>
    <col min="294" max="294" width="4.42578125" style="613" customWidth="1"/>
    <col min="295" max="310" width="2.7109375" style="613" customWidth="1"/>
    <col min="311" max="512" width="11.42578125" style="613"/>
    <col min="513" max="513" width="3.5703125" style="613" customWidth="1"/>
    <col min="514" max="514" width="2.7109375" style="613" customWidth="1"/>
    <col min="515" max="515" width="1" style="613" customWidth="1"/>
    <col min="516" max="516" width="4.28515625" style="613" customWidth="1"/>
    <col min="517" max="523" width="2.7109375" style="613" customWidth="1"/>
    <col min="524" max="524" width="1.5703125" style="613" customWidth="1"/>
    <col min="525" max="527" width="2.7109375" style="613" customWidth="1"/>
    <col min="528" max="528" width="1.42578125" style="613" customWidth="1"/>
    <col min="529" max="529" width="1.85546875" style="613" customWidth="1"/>
    <col min="530" max="530" width="2.85546875" style="613" customWidth="1"/>
    <col min="531" max="532" width="2.7109375" style="613" customWidth="1"/>
    <col min="533" max="533" width="2.85546875" style="613" customWidth="1"/>
    <col min="534" max="535" width="3.140625" style="613" customWidth="1"/>
    <col min="536" max="536" width="2.28515625" style="613" customWidth="1"/>
    <col min="537" max="537" width="2.7109375" style="613" customWidth="1"/>
    <col min="538" max="538" width="1.28515625" style="613" customWidth="1"/>
    <col min="539" max="539" width="1.140625" style="613" customWidth="1"/>
    <col min="540" max="540" width="2.7109375" style="613" customWidth="1"/>
    <col min="541" max="542" width="1.28515625" style="613" customWidth="1"/>
    <col min="543" max="543" width="3.42578125" style="613" customWidth="1"/>
    <col min="544" max="544" width="2.7109375" style="613" customWidth="1"/>
    <col min="545" max="545" width="6.7109375" style="613" customWidth="1"/>
    <col min="546" max="546" width="4.28515625" style="613" customWidth="1"/>
    <col min="547" max="547" width="3.7109375" style="613" customWidth="1"/>
    <col min="548" max="548" width="5.42578125" style="613" customWidth="1"/>
    <col min="549" max="549" width="2.7109375" style="613" customWidth="1"/>
    <col min="550" max="550" width="4.42578125" style="613" customWidth="1"/>
    <col min="551" max="566" width="2.7109375" style="613" customWidth="1"/>
    <col min="567" max="768" width="11.42578125" style="613"/>
    <col min="769" max="769" width="3.5703125" style="613" customWidth="1"/>
    <col min="770" max="770" width="2.7109375" style="613" customWidth="1"/>
    <col min="771" max="771" width="1" style="613" customWidth="1"/>
    <col min="772" max="772" width="4.28515625" style="613" customWidth="1"/>
    <col min="773" max="779" width="2.7109375" style="613" customWidth="1"/>
    <col min="780" max="780" width="1.5703125" style="613" customWidth="1"/>
    <col min="781" max="783" width="2.7109375" style="613" customWidth="1"/>
    <col min="784" max="784" width="1.42578125" style="613" customWidth="1"/>
    <col min="785" max="785" width="1.85546875" style="613" customWidth="1"/>
    <col min="786" max="786" width="2.85546875" style="613" customWidth="1"/>
    <col min="787" max="788" width="2.7109375" style="613" customWidth="1"/>
    <col min="789" max="789" width="2.85546875" style="613" customWidth="1"/>
    <col min="790" max="791" width="3.140625" style="613" customWidth="1"/>
    <col min="792" max="792" width="2.28515625" style="613" customWidth="1"/>
    <col min="793" max="793" width="2.7109375" style="613" customWidth="1"/>
    <col min="794" max="794" width="1.28515625" style="613" customWidth="1"/>
    <col min="795" max="795" width="1.140625" style="613" customWidth="1"/>
    <col min="796" max="796" width="2.7109375" style="613" customWidth="1"/>
    <col min="797" max="798" width="1.28515625" style="613" customWidth="1"/>
    <col min="799" max="799" width="3.42578125" style="613" customWidth="1"/>
    <col min="800" max="800" width="2.7109375" style="613" customWidth="1"/>
    <col min="801" max="801" width="6.7109375" style="613" customWidth="1"/>
    <col min="802" max="802" width="4.28515625" style="613" customWidth="1"/>
    <col min="803" max="803" width="3.7109375" style="613" customWidth="1"/>
    <col min="804" max="804" width="5.42578125" style="613" customWidth="1"/>
    <col min="805" max="805" width="2.7109375" style="613" customWidth="1"/>
    <col min="806" max="806" width="4.42578125" style="613" customWidth="1"/>
    <col min="807" max="822" width="2.7109375" style="613" customWidth="1"/>
    <col min="823" max="1024" width="11.42578125" style="613"/>
    <col min="1025" max="1025" width="3.5703125" style="613" customWidth="1"/>
    <col min="1026" max="1026" width="2.7109375" style="613" customWidth="1"/>
    <col min="1027" max="1027" width="1" style="613" customWidth="1"/>
    <col min="1028" max="1028" width="4.28515625" style="613" customWidth="1"/>
    <col min="1029" max="1035" width="2.7109375" style="613" customWidth="1"/>
    <col min="1036" max="1036" width="1.5703125" style="613" customWidth="1"/>
    <col min="1037" max="1039" width="2.7109375" style="613" customWidth="1"/>
    <col min="1040" max="1040" width="1.42578125" style="613" customWidth="1"/>
    <col min="1041" max="1041" width="1.85546875" style="613" customWidth="1"/>
    <col min="1042" max="1042" width="2.85546875" style="613" customWidth="1"/>
    <col min="1043" max="1044" width="2.7109375" style="613" customWidth="1"/>
    <col min="1045" max="1045" width="2.85546875" style="613" customWidth="1"/>
    <col min="1046" max="1047" width="3.140625" style="613" customWidth="1"/>
    <col min="1048" max="1048" width="2.28515625" style="613" customWidth="1"/>
    <col min="1049" max="1049" width="2.7109375" style="613" customWidth="1"/>
    <col min="1050" max="1050" width="1.28515625" style="613" customWidth="1"/>
    <col min="1051" max="1051" width="1.140625" style="613" customWidth="1"/>
    <col min="1052" max="1052" width="2.7109375" style="613" customWidth="1"/>
    <col min="1053" max="1054" width="1.28515625" style="613" customWidth="1"/>
    <col min="1055" max="1055" width="3.42578125" style="613" customWidth="1"/>
    <col min="1056" max="1056" width="2.7109375" style="613" customWidth="1"/>
    <col min="1057" max="1057" width="6.7109375" style="613" customWidth="1"/>
    <col min="1058" max="1058" width="4.28515625" style="613" customWidth="1"/>
    <col min="1059" max="1059" width="3.7109375" style="613" customWidth="1"/>
    <col min="1060" max="1060" width="5.42578125" style="613" customWidth="1"/>
    <col min="1061" max="1061" width="2.7109375" style="613" customWidth="1"/>
    <col min="1062" max="1062" width="4.42578125" style="613" customWidth="1"/>
    <col min="1063" max="1078" width="2.7109375" style="613" customWidth="1"/>
    <col min="1079" max="1280" width="11.42578125" style="613"/>
    <col min="1281" max="1281" width="3.5703125" style="613" customWidth="1"/>
    <col min="1282" max="1282" width="2.7109375" style="613" customWidth="1"/>
    <col min="1283" max="1283" width="1" style="613" customWidth="1"/>
    <col min="1284" max="1284" width="4.28515625" style="613" customWidth="1"/>
    <col min="1285" max="1291" width="2.7109375" style="613" customWidth="1"/>
    <col min="1292" max="1292" width="1.5703125" style="613" customWidth="1"/>
    <col min="1293" max="1295" width="2.7109375" style="613" customWidth="1"/>
    <col min="1296" max="1296" width="1.42578125" style="613" customWidth="1"/>
    <col min="1297" max="1297" width="1.85546875" style="613" customWidth="1"/>
    <col min="1298" max="1298" width="2.85546875" style="613" customWidth="1"/>
    <col min="1299" max="1300" width="2.7109375" style="613" customWidth="1"/>
    <col min="1301" max="1301" width="2.85546875" style="613" customWidth="1"/>
    <col min="1302" max="1303" width="3.140625" style="613" customWidth="1"/>
    <col min="1304" max="1304" width="2.28515625" style="613" customWidth="1"/>
    <col min="1305" max="1305" width="2.7109375" style="613" customWidth="1"/>
    <col min="1306" max="1306" width="1.28515625" style="613" customWidth="1"/>
    <col min="1307" max="1307" width="1.140625" style="613" customWidth="1"/>
    <col min="1308" max="1308" width="2.7109375" style="613" customWidth="1"/>
    <col min="1309" max="1310" width="1.28515625" style="613" customWidth="1"/>
    <col min="1311" max="1311" width="3.42578125" style="613" customWidth="1"/>
    <col min="1312" max="1312" width="2.7109375" style="613" customWidth="1"/>
    <col min="1313" max="1313" width="6.7109375" style="613" customWidth="1"/>
    <col min="1314" max="1314" width="4.28515625" style="613" customWidth="1"/>
    <col min="1315" max="1315" width="3.7109375" style="613" customWidth="1"/>
    <col min="1316" max="1316" width="5.42578125" style="613" customWidth="1"/>
    <col min="1317" max="1317" width="2.7109375" style="613" customWidth="1"/>
    <col min="1318" max="1318" width="4.42578125" style="613" customWidth="1"/>
    <col min="1319" max="1334" width="2.7109375" style="613" customWidth="1"/>
    <col min="1335" max="1536" width="11.42578125" style="613"/>
    <col min="1537" max="1537" width="3.5703125" style="613" customWidth="1"/>
    <col min="1538" max="1538" width="2.7109375" style="613" customWidth="1"/>
    <col min="1539" max="1539" width="1" style="613" customWidth="1"/>
    <col min="1540" max="1540" width="4.28515625" style="613" customWidth="1"/>
    <col min="1541" max="1547" width="2.7109375" style="613" customWidth="1"/>
    <col min="1548" max="1548" width="1.5703125" style="613" customWidth="1"/>
    <col min="1549" max="1551" width="2.7109375" style="613" customWidth="1"/>
    <col min="1552" max="1552" width="1.42578125" style="613" customWidth="1"/>
    <col min="1553" max="1553" width="1.85546875" style="613" customWidth="1"/>
    <col min="1554" max="1554" width="2.85546875" style="613" customWidth="1"/>
    <col min="1555" max="1556" width="2.7109375" style="613" customWidth="1"/>
    <col min="1557" max="1557" width="2.85546875" style="613" customWidth="1"/>
    <col min="1558" max="1559" width="3.140625" style="613" customWidth="1"/>
    <col min="1560" max="1560" width="2.28515625" style="613" customWidth="1"/>
    <col min="1561" max="1561" width="2.7109375" style="613" customWidth="1"/>
    <col min="1562" max="1562" width="1.28515625" style="613" customWidth="1"/>
    <col min="1563" max="1563" width="1.140625" style="613" customWidth="1"/>
    <col min="1564" max="1564" width="2.7109375" style="613" customWidth="1"/>
    <col min="1565" max="1566" width="1.28515625" style="613" customWidth="1"/>
    <col min="1567" max="1567" width="3.42578125" style="613" customWidth="1"/>
    <col min="1568" max="1568" width="2.7109375" style="613" customWidth="1"/>
    <col min="1569" max="1569" width="6.7109375" style="613" customWidth="1"/>
    <col min="1570" max="1570" width="4.28515625" style="613" customWidth="1"/>
    <col min="1571" max="1571" width="3.7109375" style="613" customWidth="1"/>
    <col min="1572" max="1572" width="5.42578125" style="613" customWidth="1"/>
    <col min="1573" max="1573" width="2.7109375" style="613" customWidth="1"/>
    <col min="1574" max="1574" width="4.42578125" style="613" customWidth="1"/>
    <col min="1575" max="1590" width="2.7109375" style="613" customWidth="1"/>
    <col min="1591" max="1792" width="11.42578125" style="613"/>
    <col min="1793" max="1793" width="3.5703125" style="613" customWidth="1"/>
    <col min="1794" max="1794" width="2.7109375" style="613" customWidth="1"/>
    <col min="1795" max="1795" width="1" style="613" customWidth="1"/>
    <col min="1796" max="1796" width="4.28515625" style="613" customWidth="1"/>
    <col min="1797" max="1803" width="2.7109375" style="613" customWidth="1"/>
    <col min="1804" max="1804" width="1.5703125" style="613" customWidth="1"/>
    <col min="1805" max="1807" width="2.7109375" style="613" customWidth="1"/>
    <col min="1808" max="1808" width="1.42578125" style="613" customWidth="1"/>
    <col min="1809" max="1809" width="1.85546875" style="613" customWidth="1"/>
    <col min="1810" max="1810" width="2.85546875" style="613" customWidth="1"/>
    <col min="1811" max="1812" width="2.7109375" style="613" customWidth="1"/>
    <col min="1813" max="1813" width="2.85546875" style="613" customWidth="1"/>
    <col min="1814" max="1815" width="3.140625" style="613" customWidth="1"/>
    <col min="1816" max="1816" width="2.28515625" style="613" customWidth="1"/>
    <col min="1817" max="1817" width="2.7109375" style="613" customWidth="1"/>
    <col min="1818" max="1818" width="1.28515625" style="613" customWidth="1"/>
    <col min="1819" max="1819" width="1.140625" style="613" customWidth="1"/>
    <col min="1820" max="1820" width="2.7109375" style="613" customWidth="1"/>
    <col min="1821" max="1822" width="1.28515625" style="613" customWidth="1"/>
    <col min="1823" max="1823" width="3.42578125" style="613" customWidth="1"/>
    <col min="1824" max="1824" width="2.7109375" style="613" customWidth="1"/>
    <col min="1825" max="1825" width="6.7109375" style="613" customWidth="1"/>
    <col min="1826" max="1826" width="4.28515625" style="613" customWidth="1"/>
    <col min="1827" max="1827" width="3.7109375" style="613" customWidth="1"/>
    <col min="1828" max="1828" width="5.42578125" style="613" customWidth="1"/>
    <col min="1829" max="1829" width="2.7109375" style="613" customWidth="1"/>
    <col min="1830" max="1830" width="4.42578125" style="613" customWidth="1"/>
    <col min="1831" max="1846" width="2.7109375" style="613" customWidth="1"/>
    <col min="1847" max="2048" width="11.42578125" style="613"/>
    <col min="2049" max="2049" width="3.5703125" style="613" customWidth="1"/>
    <col min="2050" max="2050" width="2.7109375" style="613" customWidth="1"/>
    <col min="2051" max="2051" width="1" style="613" customWidth="1"/>
    <col min="2052" max="2052" width="4.28515625" style="613" customWidth="1"/>
    <col min="2053" max="2059" width="2.7109375" style="613" customWidth="1"/>
    <col min="2060" max="2060" width="1.5703125" style="613" customWidth="1"/>
    <col min="2061" max="2063" width="2.7109375" style="613" customWidth="1"/>
    <col min="2064" max="2064" width="1.42578125" style="613" customWidth="1"/>
    <col min="2065" max="2065" width="1.85546875" style="613" customWidth="1"/>
    <col min="2066" max="2066" width="2.85546875" style="613" customWidth="1"/>
    <col min="2067" max="2068" width="2.7109375" style="613" customWidth="1"/>
    <col min="2069" max="2069" width="2.85546875" style="613" customWidth="1"/>
    <col min="2070" max="2071" width="3.140625" style="613" customWidth="1"/>
    <col min="2072" max="2072" width="2.28515625" style="613" customWidth="1"/>
    <col min="2073" max="2073" width="2.7109375" style="613" customWidth="1"/>
    <col min="2074" max="2074" width="1.28515625" style="613" customWidth="1"/>
    <col min="2075" max="2075" width="1.140625" style="613" customWidth="1"/>
    <col min="2076" max="2076" width="2.7109375" style="613" customWidth="1"/>
    <col min="2077" max="2078" width="1.28515625" style="613" customWidth="1"/>
    <col min="2079" max="2079" width="3.42578125" style="613" customWidth="1"/>
    <col min="2080" max="2080" width="2.7109375" style="613" customWidth="1"/>
    <col min="2081" max="2081" width="6.7109375" style="613" customWidth="1"/>
    <col min="2082" max="2082" width="4.28515625" style="613" customWidth="1"/>
    <col min="2083" max="2083" width="3.7109375" style="613" customWidth="1"/>
    <col min="2084" max="2084" width="5.42578125" style="613" customWidth="1"/>
    <col min="2085" max="2085" width="2.7109375" style="613" customWidth="1"/>
    <col min="2086" max="2086" width="4.42578125" style="613" customWidth="1"/>
    <col min="2087" max="2102" width="2.7109375" style="613" customWidth="1"/>
    <col min="2103" max="2304" width="11.42578125" style="613"/>
    <col min="2305" max="2305" width="3.5703125" style="613" customWidth="1"/>
    <col min="2306" max="2306" width="2.7109375" style="613" customWidth="1"/>
    <col min="2307" max="2307" width="1" style="613" customWidth="1"/>
    <col min="2308" max="2308" width="4.28515625" style="613" customWidth="1"/>
    <col min="2309" max="2315" width="2.7109375" style="613" customWidth="1"/>
    <col min="2316" max="2316" width="1.5703125" style="613" customWidth="1"/>
    <col min="2317" max="2319" width="2.7109375" style="613" customWidth="1"/>
    <col min="2320" max="2320" width="1.42578125" style="613" customWidth="1"/>
    <col min="2321" max="2321" width="1.85546875" style="613" customWidth="1"/>
    <col min="2322" max="2322" width="2.85546875" style="613" customWidth="1"/>
    <col min="2323" max="2324" width="2.7109375" style="613" customWidth="1"/>
    <col min="2325" max="2325" width="2.85546875" style="613" customWidth="1"/>
    <col min="2326" max="2327" width="3.140625" style="613" customWidth="1"/>
    <col min="2328" max="2328" width="2.28515625" style="613" customWidth="1"/>
    <col min="2329" max="2329" width="2.7109375" style="613" customWidth="1"/>
    <col min="2330" max="2330" width="1.28515625" style="613" customWidth="1"/>
    <col min="2331" max="2331" width="1.140625" style="613" customWidth="1"/>
    <col min="2332" max="2332" width="2.7109375" style="613" customWidth="1"/>
    <col min="2333" max="2334" width="1.28515625" style="613" customWidth="1"/>
    <col min="2335" max="2335" width="3.42578125" style="613" customWidth="1"/>
    <col min="2336" max="2336" width="2.7109375" style="613" customWidth="1"/>
    <col min="2337" max="2337" width="6.7109375" style="613" customWidth="1"/>
    <col min="2338" max="2338" width="4.28515625" style="613" customWidth="1"/>
    <col min="2339" max="2339" width="3.7109375" style="613" customWidth="1"/>
    <col min="2340" max="2340" width="5.42578125" style="613" customWidth="1"/>
    <col min="2341" max="2341" width="2.7109375" style="613" customWidth="1"/>
    <col min="2342" max="2342" width="4.42578125" style="613" customWidth="1"/>
    <col min="2343" max="2358" width="2.7109375" style="613" customWidth="1"/>
    <col min="2359" max="2560" width="11.42578125" style="613"/>
    <col min="2561" max="2561" width="3.5703125" style="613" customWidth="1"/>
    <col min="2562" max="2562" width="2.7109375" style="613" customWidth="1"/>
    <col min="2563" max="2563" width="1" style="613" customWidth="1"/>
    <col min="2564" max="2564" width="4.28515625" style="613" customWidth="1"/>
    <col min="2565" max="2571" width="2.7109375" style="613" customWidth="1"/>
    <col min="2572" max="2572" width="1.5703125" style="613" customWidth="1"/>
    <col min="2573" max="2575" width="2.7109375" style="613" customWidth="1"/>
    <col min="2576" max="2576" width="1.42578125" style="613" customWidth="1"/>
    <col min="2577" max="2577" width="1.85546875" style="613" customWidth="1"/>
    <col min="2578" max="2578" width="2.85546875" style="613" customWidth="1"/>
    <col min="2579" max="2580" width="2.7109375" style="613" customWidth="1"/>
    <col min="2581" max="2581" width="2.85546875" style="613" customWidth="1"/>
    <col min="2582" max="2583" width="3.140625" style="613" customWidth="1"/>
    <col min="2584" max="2584" width="2.28515625" style="613" customWidth="1"/>
    <col min="2585" max="2585" width="2.7109375" style="613" customWidth="1"/>
    <col min="2586" max="2586" width="1.28515625" style="613" customWidth="1"/>
    <col min="2587" max="2587" width="1.140625" style="613" customWidth="1"/>
    <col min="2588" max="2588" width="2.7109375" style="613" customWidth="1"/>
    <col min="2589" max="2590" width="1.28515625" style="613" customWidth="1"/>
    <col min="2591" max="2591" width="3.42578125" style="613" customWidth="1"/>
    <col min="2592" max="2592" width="2.7109375" style="613" customWidth="1"/>
    <col min="2593" max="2593" width="6.7109375" style="613" customWidth="1"/>
    <col min="2594" max="2594" width="4.28515625" style="613" customWidth="1"/>
    <col min="2595" max="2595" width="3.7109375" style="613" customWidth="1"/>
    <col min="2596" max="2596" width="5.42578125" style="613" customWidth="1"/>
    <col min="2597" max="2597" width="2.7109375" style="613" customWidth="1"/>
    <col min="2598" max="2598" width="4.42578125" style="613" customWidth="1"/>
    <col min="2599" max="2614" width="2.7109375" style="613" customWidth="1"/>
    <col min="2615" max="2816" width="11.42578125" style="613"/>
    <col min="2817" max="2817" width="3.5703125" style="613" customWidth="1"/>
    <col min="2818" max="2818" width="2.7109375" style="613" customWidth="1"/>
    <col min="2819" max="2819" width="1" style="613" customWidth="1"/>
    <col min="2820" max="2820" width="4.28515625" style="613" customWidth="1"/>
    <col min="2821" max="2827" width="2.7109375" style="613" customWidth="1"/>
    <col min="2828" max="2828" width="1.5703125" style="613" customWidth="1"/>
    <col min="2829" max="2831" width="2.7109375" style="613" customWidth="1"/>
    <col min="2832" max="2832" width="1.42578125" style="613" customWidth="1"/>
    <col min="2833" max="2833" width="1.85546875" style="613" customWidth="1"/>
    <col min="2834" max="2834" width="2.85546875" style="613" customWidth="1"/>
    <col min="2835" max="2836" width="2.7109375" style="613" customWidth="1"/>
    <col min="2837" max="2837" width="2.85546875" style="613" customWidth="1"/>
    <col min="2838" max="2839" width="3.140625" style="613" customWidth="1"/>
    <col min="2840" max="2840" width="2.28515625" style="613" customWidth="1"/>
    <col min="2841" max="2841" width="2.7109375" style="613" customWidth="1"/>
    <col min="2842" max="2842" width="1.28515625" style="613" customWidth="1"/>
    <col min="2843" max="2843" width="1.140625" style="613" customWidth="1"/>
    <col min="2844" max="2844" width="2.7109375" style="613" customWidth="1"/>
    <col min="2845" max="2846" width="1.28515625" style="613" customWidth="1"/>
    <col min="2847" max="2847" width="3.42578125" style="613" customWidth="1"/>
    <col min="2848" max="2848" width="2.7109375" style="613" customWidth="1"/>
    <col min="2849" max="2849" width="6.7109375" style="613" customWidth="1"/>
    <col min="2850" max="2850" width="4.28515625" style="613" customWidth="1"/>
    <col min="2851" max="2851" width="3.7109375" style="613" customWidth="1"/>
    <col min="2852" max="2852" width="5.42578125" style="613" customWidth="1"/>
    <col min="2853" max="2853" width="2.7109375" style="613" customWidth="1"/>
    <col min="2854" max="2854" width="4.42578125" style="613" customWidth="1"/>
    <col min="2855" max="2870" width="2.7109375" style="613" customWidth="1"/>
    <col min="2871" max="3072" width="11.42578125" style="613"/>
    <col min="3073" max="3073" width="3.5703125" style="613" customWidth="1"/>
    <col min="3074" max="3074" width="2.7109375" style="613" customWidth="1"/>
    <col min="3075" max="3075" width="1" style="613" customWidth="1"/>
    <col min="3076" max="3076" width="4.28515625" style="613" customWidth="1"/>
    <col min="3077" max="3083" width="2.7109375" style="613" customWidth="1"/>
    <col min="3084" max="3084" width="1.5703125" style="613" customWidth="1"/>
    <col min="3085" max="3087" width="2.7109375" style="613" customWidth="1"/>
    <col min="3088" max="3088" width="1.42578125" style="613" customWidth="1"/>
    <col min="3089" max="3089" width="1.85546875" style="613" customWidth="1"/>
    <col min="3090" max="3090" width="2.85546875" style="613" customWidth="1"/>
    <col min="3091" max="3092" width="2.7109375" style="613" customWidth="1"/>
    <col min="3093" max="3093" width="2.85546875" style="613" customWidth="1"/>
    <col min="3094" max="3095" width="3.140625" style="613" customWidth="1"/>
    <col min="3096" max="3096" width="2.28515625" style="613" customWidth="1"/>
    <col min="3097" max="3097" width="2.7109375" style="613" customWidth="1"/>
    <col min="3098" max="3098" width="1.28515625" style="613" customWidth="1"/>
    <col min="3099" max="3099" width="1.140625" style="613" customWidth="1"/>
    <col min="3100" max="3100" width="2.7109375" style="613" customWidth="1"/>
    <col min="3101" max="3102" width="1.28515625" style="613" customWidth="1"/>
    <col min="3103" max="3103" width="3.42578125" style="613" customWidth="1"/>
    <col min="3104" max="3104" width="2.7109375" style="613" customWidth="1"/>
    <col min="3105" max="3105" width="6.7109375" style="613" customWidth="1"/>
    <col min="3106" max="3106" width="4.28515625" style="613" customWidth="1"/>
    <col min="3107" max="3107" width="3.7109375" style="613" customWidth="1"/>
    <col min="3108" max="3108" width="5.42578125" style="613" customWidth="1"/>
    <col min="3109" max="3109" width="2.7109375" style="613" customWidth="1"/>
    <col min="3110" max="3110" width="4.42578125" style="613" customWidth="1"/>
    <col min="3111" max="3126" width="2.7109375" style="613" customWidth="1"/>
    <col min="3127" max="3328" width="11.42578125" style="613"/>
    <col min="3329" max="3329" width="3.5703125" style="613" customWidth="1"/>
    <col min="3330" max="3330" width="2.7109375" style="613" customWidth="1"/>
    <col min="3331" max="3331" width="1" style="613" customWidth="1"/>
    <col min="3332" max="3332" width="4.28515625" style="613" customWidth="1"/>
    <col min="3333" max="3339" width="2.7109375" style="613" customWidth="1"/>
    <col min="3340" max="3340" width="1.5703125" style="613" customWidth="1"/>
    <col min="3341" max="3343" width="2.7109375" style="613" customWidth="1"/>
    <col min="3344" max="3344" width="1.42578125" style="613" customWidth="1"/>
    <col min="3345" max="3345" width="1.85546875" style="613" customWidth="1"/>
    <col min="3346" max="3346" width="2.85546875" style="613" customWidth="1"/>
    <col min="3347" max="3348" width="2.7109375" style="613" customWidth="1"/>
    <col min="3349" max="3349" width="2.85546875" style="613" customWidth="1"/>
    <col min="3350" max="3351" width="3.140625" style="613" customWidth="1"/>
    <col min="3352" max="3352" width="2.28515625" style="613" customWidth="1"/>
    <col min="3353" max="3353" width="2.7109375" style="613" customWidth="1"/>
    <col min="3354" max="3354" width="1.28515625" style="613" customWidth="1"/>
    <col min="3355" max="3355" width="1.140625" style="613" customWidth="1"/>
    <col min="3356" max="3356" width="2.7109375" style="613" customWidth="1"/>
    <col min="3357" max="3358" width="1.28515625" style="613" customWidth="1"/>
    <col min="3359" max="3359" width="3.42578125" style="613" customWidth="1"/>
    <col min="3360" max="3360" width="2.7109375" style="613" customWidth="1"/>
    <col min="3361" max="3361" width="6.7109375" style="613" customWidth="1"/>
    <col min="3362" max="3362" width="4.28515625" style="613" customWidth="1"/>
    <col min="3363" max="3363" width="3.7109375" style="613" customWidth="1"/>
    <col min="3364" max="3364" width="5.42578125" style="613" customWidth="1"/>
    <col min="3365" max="3365" width="2.7109375" style="613" customWidth="1"/>
    <col min="3366" max="3366" width="4.42578125" style="613" customWidth="1"/>
    <col min="3367" max="3382" width="2.7109375" style="613" customWidth="1"/>
    <col min="3383" max="3584" width="11.42578125" style="613"/>
    <col min="3585" max="3585" width="3.5703125" style="613" customWidth="1"/>
    <col min="3586" max="3586" width="2.7109375" style="613" customWidth="1"/>
    <col min="3587" max="3587" width="1" style="613" customWidth="1"/>
    <col min="3588" max="3588" width="4.28515625" style="613" customWidth="1"/>
    <col min="3589" max="3595" width="2.7109375" style="613" customWidth="1"/>
    <col min="3596" max="3596" width="1.5703125" style="613" customWidth="1"/>
    <col min="3597" max="3599" width="2.7109375" style="613" customWidth="1"/>
    <col min="3600" max="3600" width="1.42578125" style="613" customWidth="1"/>
    <col min="3601" max="3601" width="1.85546875" style="613" customWidth="1"/>
    <col min="3602" max="3602" width="2.85546875" style="613" customWidth="1"/>
    <col min="3603" max="3604" width="2.7109375" style="613" customWidth="1"/>
    <col min="3605" max="3605" width="2.85546875" style="613" customWidth="1"/>
    <col min="3606" max="3607" width="3.140625" style="613" customWidth="1"/>
    <col min="3608" max="3608" width="2.28515625" style="613" customWidth="1"/>
    <col min="3609" max="3609" width="2.7109375" style="613" customWidth="1"/>
    <col min="3610" max="3610" width="1.28515625" style="613" customWidth="1"/>
    <col min="3611" max="3611" width="1.140625" style="613" customWidth="1"/>
    <col min="3612" max="3612" width="2.7109375" style="613" customWidth="1"/>
    <col min="3613" max="3614" width="1.28515625" style="613" customWidth="1"/>
    <col min="3615" max="3615" width="3.42578125" style="613" customWidth="1"/>
    <col min="3616" max="3616" width="2.7109375" style="613" customWidth="1"/>
    <col min="3617" max="3617" width="6.7109375" style="613" customWidth="1"/>
    <col min="3618" max="3618" width="4.28515625" style="613" customWidth="1"/>
    <col min="3619" max="3619" width="3.7109375" style="613" customWidth="1"/>
    <col min="3620" max="3620" width="5.42578125" style="613" customWidth="1"/>
    <col min="3621" max="3621" width="2.7109375" style="613" customWidth="1"/>
    <col min="3622" max="3622" width="4.42578125" style="613" customWidth="1"/>
    <col min="3623" max="3638" width="2.7109375" style="613" customWidth="1"/>
    <col min="3639" max="3840" width="11.42578125" style="613"/>
    <col min="3841" max="3841" width="3.5703125" style="613" customWidth="1"/>
    <col min="3842" max="3842" width="2.7109375" style="613" customWidth="1"/>
    <col min="3843" max="3843" width="1" style="613" customWidth="1"/>
    <col min="3844" max="3844" width="4.28515625" style="613" customWidth="1"/>
    <col min="3845" max="3851" width="2.7109375" style="613" customWidth="1"/>
    <col min="3852" max="3852" width="1.5703125" style="613" customWidth="1"/>
    <col min="3853" max="3855" width="2.7109375" style="613" customWidth="1"/>
    <col min="3856" max="3856" width="1.42578125" style="613" customWidth="1"/>
    <col min="3857" max="3857" width="1.85546875" style="613" customWidth="1"/>
    <col min="3858" max="3858" width="2.85546875" style="613" customWidth="1"/>
    <col min="3859" max="3860" width="2.7109375" style="613" customWidth="1"/>
    <col min="3861" max="3861" width="2.85546875" style="613" customWidth="1"/>
    <col min="3862" max="3863" width="3.140625" style="613" customWidth="1"/>
    <col min="3864" max="3864" width="2.28515625" style="613" customWidth="1"/>
    <col min="3865" max="3865" width="2.7109375" style="613" customWidth="1"/>
    <col min="3866" max="3866" width="1.28515625" style="613" customWidth="1"/>
    <col min="3867" max="3867" width="1.140625" style="613" customWidth="1"/>
    <col min="3868" max="3868" width="2.7109375" style="613" customWidth="1"/>
    <col min="3869" max="3870" width="1.28515625" style="613" customWidth="1"/>
    <col min="3871" max="3871" width="3.42578125" style="613" customWidth="1"/>
    <col min="3872" max="3872" width="2.7109375" style="613" customWidth="1"/>
    <col min="3873" max="3873" width="6.7109375" style="613" customWidth="1"/>
    <col min="3874" max="3874" width="4.28515625" style="613" customWidth="1"/>
    <col min="3875" max="3875" width="3.7109375" style="613" customWidth="1"/>
    <col min="3876" max="3876" width="5.42578125" style="613" customWidth="1"/>
    <col min="3877" max="3877" width="2.7109375" style="613" customWidth="1"/>
    <col min="3878" max="3878" width="4.42578125" style="613" customWidth="1"/>
    <col min="3879" max="3894" width="2.7109375" style="613" customWidth="1"/>
    <col min="3895" max="4096" width="11.42578125" style="613"/>
    <col min="4097" max="4097" width="3.5703125" style="613" customWidth="1"/>
    <col min="4098" max="4098" width="2.7109375" style="613" customWidth="1"/>
    <col min="4099" max="4099" width="1" style="613" customWidth="1"/>
    <col min="4100" max="4100" width="4.28515625" style="613" customWidth="1"/>
    <col min="4101" max="4107" width="2.7109375" style="613" customWidth="1"/>
    <col min="4108" max="4108" width="1.5703125" style="613" customWidth="1"/>
    <col min="4109" max="4111" width="2.7109375" style="613" customWidth="1"/>
    <col min="4112" max="4112" width="1.42578125" style="613" customWidth="1"/>
    <col min="4113" max="4113" width="1.85546875" style="613" customWidth="1"/>
    <col min="4114" max="4114" width="2.85546875" style="613" customWidth="1"/>
    <col min="4115" max="4116" width="2.7109375" style="613" customWidth="1"/>
    <col min="4117" max="4117" width="2.85546875" style="613" customWidth="1"/>
    <col min="4118" max="4119" width="3.140625" style="613" customWidth="1"/>
    <col min="4120" max="4120" width="2.28515625" style="613" customWidth="1"/>
    <col min="4121" max="4121" width="2.7109375" style="613" customWidth="1"/>
    <col min="4122" max="4122" width="1.28515625" style="613" customWidth="1"/>
    <col min="4123" max="4123" width="1.140625" style="613" customWidth="1"/>
    <col min="4124" max="4124" width="2.7109375" style="613" customWidth="1"/>
    <col min="4125" max="4126" width="1.28515625" style="613" customWidth="1"/>
    <col min="4127" max="4127" width="3.42578125" style="613" customWidth="1"/>
    <col min="4128" max="4128" width="2.7109375" style="613" customWidth="1"/>
    <col min="4129" max="4129" width="6.7109375" style="613" customWidth="1"/>
    <col min="4130" max="4130" width="4.28515625" style="613" customWidth="1"/>
    <col min="4131" max="4131" width="3.7109375" style="613" customWidth="1"/>
    <col min="4132" max="4132" width="5.42578125" style="613" customWidth="1"/>
    <col min="4133" max="4133" width="2.7109375" style="613" customWidth="1"/>
    <col min="4134" max="4134" width="4.42578125" style="613" customWidth="1"/>
    <col min="4135" max="4150" width="2.7109375" style="613" customWidth="1"/>
    <col min="4151" max="4352" width="11.42578125" style="613"/>
    <col min="4353" max="4353" width="3.5703125" style="613" customWidth="1"/>
    <col min="4354" max="4354" width="2.7109375" style="613" customWidth="1"/>
    <col min="4355" max="4355" width="1" style="613" customWidth="1"/>
    <col min="4356" max="4356" width="4.28515625" style="613" customWidth="1"/>
    <col min="4357" max="4363" width="2.7109375" style="613" customWidth="1"/>
    <col min="4364" max="4364" width="1.5703125" style="613" customWidth="1"/>
    <col min="4365" max="4367" width="2.7109375" style="613" customWidth="1"/>
    <col min="4368" max="4368" width="1.42578125" style="613" customWidth="1"/>
    <col min="4369" max="4369" width="1.85546875" style="613" customWidth="1"/>
    <col min="4370" max="4370" width="2.85546875" style="613" customWidth="1"/>
    <col min="4371" max="4372" width="2.7109375" style="613" customWidth="1"/>
    <col min="4373" max="4373" width="2.85546875" style="613" customWidth="1"/>
    <col min="4374" max="4375" width="3.140625" style="613" customWidth="1"/>
    <col min="4376" max="4376" width="2.28515625" style="613" customWidth="1"/>
    <col min="4377" max="4377" width="2.7109375" style="613" customWidth="1"/>
    <col min="4378" max="4378" width="1.28515625" style="613" customWidth="1"/>
    <col min="4379" max="4379" width="1.140625" style="613" customWidth="1"/>
    <col min="4380" max="4380" width="2.7109375" style="613" customWidth="1"/>
    <col min="4381" max="4382" width="1.28515625" style="613" customWidth="1"/>
    <col min="4383" max="4383" width="3.42578125" style="613" customWidth="1"/>
    <col min="4384" max="4384" width="2.7109375" style="613" customWidth="1"/>
    <col min="4385" max="4385" width="6.7109375" style="613" customWidth="1"/>
    <col min="4386" max="4386" width="4.28515625" style="613" customWidth="1"/>
    <col min="4387" max="4387" width="3.7109375" style="613" customWidth="1"/>
    <col min="4388" max="4388" width="5.42578125" style="613" customWidth="1"/>
    <col min="4389" max="4389" width="2.7109375" style="613" customWidth="1"/>
    <col min="4390" max="4390" width="4.42578125" style="613" customWidth="1"/>
    <col min="4391" max="4406" width="2.7109375" style="613" customWidth="1"/>
    <col min="4407" max="4608" width="11.42578125" style="613"/>
    <col min="4609" max="4609" width="3.5703125" style="613" customWidth="1"/>
    <col min="4610" max="4610" width="2.7109375" style="613" customWidth="1"/>
    <col min="4611" max="4611" width="1" style="613" customWidth="1"/>
    <col min="4612" max="4612" width="4.28515625" style="613" customWidth="1"/>
    <col min="4613" max="4619" width="2.7109375" style="613" customWidth="1"/>
    <col min="4620" max="4620" width="1.5703125" style="613" customWidth="1"/>
    <col min="4621" max="4623" width="2.7109375" style="613" customWidth="1"/>
    <col min="4624" max="4624" width="1.42578125" style="613" customWidth="1"/>
    <col min="4625" max="4625" width="1.85546875" style="613" customWidth="1"/>
    <col min="4626" max="4626" width="2.85546875" style="613" customWidth="1"/>
    <col min="4627" max="4628" width="2.7109375" style="613" customWidth="1"/>
    <col min="4629" max="4629" width="2.85546875" style="613" customWidth="1"/>
    <col min="4630" max="4631" width="3.140625" style="613" customWidth="1"/>
    <col min="4632" max="4632" width="2.28515625" style="613" customWidth="1"/>
    <col min="4633" max="4633" width="2.7109375" style="613" customWidth="1"/>
    <col min="4634" max="4634" width="1.28515625" style="613" customWidth="1"/>
    <col min="4635" max="4635" width="1.140625" style="613" customWidth="1"/>
    <col min="4636" max="4636" width="2.7109375" style="613" customWidth="1"/>
    <col min="4637" max="4638" width="1.28515625" style="613" customWidth="1"/>
    <col min="4639" max="4639" width="3.42578125" style="613" customWidth="1"/>
    <col min="4640" max="4640" width="2.7109375" style="613" customWidth="1"/>
    <col min="4641" max="4641" width="6.7109375" style="613" customWidth="1"/>
    <col min="4642" max="4642" width="4.28515625" style="613" customWidth="1"/>
    <col min="4643" max="4643" width="3.7109375" style="613" customWidth="1"/>
    <col min="4644" max="4644" width="5.42578125" style="613" customWidth="1"/>
    <col min="4645" max="4645" width="2.7109375" style="613" customWidth="1"/>
    <col min="4646" max="4646" width="4.42578125" style="613" customWidth="1"/>
    <col min="4647" max="4662" width="2.7109375" style="613" customWidth="1"/>
    <col min="4663" max="4864" width="11.42578125" style="613"/>
    <col min="4865" max="4865" width="3.5703125" style="613" customWidth="1"/>
    <col min="4866" max="4866" width="2.7109375" style="613" customWidth="1"/>
    <col min="4867" max="4867" width="1" style="613" customWidth="1"/>
    <col min="4868" max="4868" width="4.28515625" style="613" customWidth="1"/>
    <col min="4869" max="4875" width="2.7109375" style="613" customWidth="1"/>
    <col min="4876" max="4876" width="1.5703125" style="613" customWidth="1"/>
    <col min="4877" max="4879" width="2.7109375" style="613" customWidth="1"/>
    <col min="4880" max="4880" width="1.42578125" style="613" customWidth="1"/>
    <col min="4881" max="4881" width="1.85546875" style="613" customWidth="1"/>
    <col min="4882" max="4882" width="2.85546875" style="613" customWidth="1"/>
    <col min="4883" max="4884" width="2.7109375" style="613" customWidth="1"/>
    <col min="4885" max="4885" width="2.85546875" style="613" customWidth="1"/>
    <col min="4886" max="4887" width="3.140625" style="613" customWidth="1"/>
    <col min="4888" max="4888" width="2.28515625" style="613" customWidth="1"/>
    <col min="4889" max="4889" width="2.7109375" style="613" customWidth="1"/>
    <col min="4890" max="4890" width="1.28515625" style="613" customWidth="1"/>
    <col min="4891" max="4891" width="1.140625" style="613" customWidth="1"/>
    <col min="4892" max="4892" width="2.7109375" style="613" customWidth="1"/>
    <col min="4893" max="4894" width="1.28515625" style="613" customWidth="1"/>
    <col min="4895" max="4895" width="3.42578125" style="613" customWidth="1"/>
    <col min="4896" max="4896" width="2.7109375" style="613" customWidth="1"/>
    <col min="4897" max="4897" width="6.7109375" style="613" customWidth="1"/>
    <col min="4898" max="4898" width="4.28515625" style="613" customWidth="1"/>
    <col min="4899" max="4899" width="3.7109375" style="613" customWidth="1"/>
    <col min="4900" max="4900" width="5.42578125" style="613" customWidth="1"/>
    <col min="4901" max="4901" width="2.7109375" style="613" customWidth="1"/>
    <col min="4902" max="4902" width="4.42578125" style="613" customWidth="1"/>
    <col min="4903" max="4918" width="2.7109375" style="613" customWidth="1"/>
    <col min="4919" max="5120" width="11.42578125" style="613"/>
    <col min="5121" max="5121" width="3.5703125" style="613" customWidth="1"/>
    <col min="5122" max="5122" width="2.7109375" style="613" customWidth="1"/>
    <col min="5123" max="5123" width="1" style="613" customWidth="1"/>
    <col min="5124" max="5124" width="4.28515625" style="613" customWidth="1"/>
    <col min="5125" max="5131" width="2.7109375" style="613" customWidth="1"/>
    <col min="5132" max="5132" width="1.5703125" style="613" customWidth="1"/>
    <col min="5133" max="5135" width="2.7109375" style="613" customWidth="1"/>
    <col min="5136" max="5136" width="1.42578125" style="613" customWidth="1"/>
    <col min="5137" max="5137" width="1.85546875" style="613" customWidth="1"/>
    <col min="5138" max="5138" width="2.85546875" style="613" customWidth="1"/>
    <col min="5139" max="5140" width="2.7109375" style="613" customWidth="1"/>
    <col min="5141" max="5141" width="2.85546875" style="613" customWidth="1"/>
    <col min="5142" max="5143" width="3.140625" style="613" customWidth="1"/>
    <col min="5144" max="5144" width="2.28515625" style="613" customWidth="1"/>
    <col min="5145" max="5145" width="2.7109375" style="613" customWidth="1"/>
    <col min="5146" max="5146" width="1.28515625" style="613" customWidth="1"/>
    <col min="5147" max="5147" width="1.140625" style="613" customWidth="1"/>
    <col min="5148" max="5148" width="2.7109375" style="613" customWidth="1"/>
    <col min="5149" max="5150" width="1.28515625" style="613" customWidth="1"/>
    <col min="5151" max="5151" width="3.42578125" style="613" customWidth="1"/>
    <col min="5152" max="5152" width="2.7109375" style="613" customWidth="1"/>
    <col min="5153" max="5153" width="6.7109375" style="613" customWidth="1"/>
    <col min="5154" max="5154" width="4.28515625" style="613" customWidth="1"/>
    <col min="5155" max="5155" width="3.7109375" style="613" customWidth="1"/>
    <col min="5156" max="5156" width="5.42578125" style="613" customWidth="1"/>
    <col min="5157" max="5157" width="2.7109375" style="613" customWidth="1"/>
    <col min="5158" max="5158" width="4.42578125" style="613" customWidth="1"/>
    <col min="5159" max="5174" width="2.7109375" style="613" customWidth="1"/>
    <col min="5175" max="5376" width="11.42578125" style="613"/>
    <col min="5377" max="5377" width="3.5703125" style="613" customWidth="1"/>
    <col min="5378" max="5378" width="2.7109375" style="613" customWidth="1"/>
    <col min="5379" max="5379" width="1" style="613" customWidth="1"/>
    <col min="5380" max="5380" width="4.28515625" style="613" customWidth="1"/>
    <col min="5381" max="5387" width="2.7109375" style="613" customWidth="1"/>
    <col min="5388" max="5388" width="1.5703125" style="613" customWidth="1"/>
    <col min="5389" max="5391" width="2.7109375" style="613" customWidth="1"/>
    <col min="5392" max="5392" width="1.42578125" style="613" customWidth="1"/>
    <col min="5393" max="5393" width="1.85546875" style="613" customWidth="1"/>
    <col min="5394" max="5394" width="2.85546875" style="613" customWidth="1"/>
    <col min="5395" max="5396" width="2.7109375" style="613" customWidth="1"/>
    <col min="5397" max="5397" width="2.85546875" style="613" customWidth="1"/>
    <col min="5398" max="5399" width="3.140625" style="613" customWidth="1"/>
    <col min="5400" max="5400" width="2.28515625" style="613" customWidth="1"/>
    <col min="5401" max="5401" width="2.7109375" style="613" customWidth="1"/>
    <col min="5402" max="5402" width="1.28515625" style="613" customWidth="1"/>
    <col min="5403" max="5403" width="1.140625" style="613" customWidth="1"/>
    <col min="5404" max="5404" width="2.7109375" style="613" customWidth="1"/>
    <col min="5405" max="5406" width="1.28515625" style="613" customWidth="1"/>
    <col min="5407" max="5407" width="3.42578125" style="613" customWidth="1"/>
    <col min="5408" max="5408" width="2.7109375" style="613" customWidth="1"/>
    <col min="5409" max="5409" width="6.7109375" style="613" customWidth="1"/>
    <col min="5410" max="5410" width="4.28515625" style="613" customWidth="1"/>
    <col min="5411" max="5411" width="3.7109375" style="613" customWidth="1"/>
    <col min="5412" max="5412" width="5.42578125" style="613" customWidth="1"/>
    <col min="5413" max="5413" width="2.7109375" style="613" customWidth="1"/>
    <col min="5414" max="5414" width="4.42578125" style="613" customWidth="1"/>
    <col min="5415" max="5430" width="2.7109375" style="613" customWidth="1"/>
    <col min="5431" max="5632" width="11.42578125" style="613"/>
    <col min="5633" max="5633" width="3.5703125" style="613" customWidth="1"/>
    <col min="5634" max="5634" width="2.7109375" style="613" customWidth="1"/>
    <col min="5635" max="5635" width="1" style="613" customWidth="1"/>
    <col min="5636" max="5636" width="4.28515625" style="613" customWidth="1"/>
    <col min="5637" max="5643" width="2.7109375" style="613" customWidth="1"/>
    <col min="5644" max="5644" width="1.5703125" style="613" customWidth="1"/>
    <col min="5645" max="5647" width="2.7109375" style="613" customWidth="1"/>
    <col min="5648" max="5648" width="1.42578125" style="613" customWidth="1"/>
    <col min="5649" max="5649" width="1.85546875" style="613" customWidth="1"/>
    <col min="5650" max="5650" width="2.85546875" style="613" customWidth="1"/>
    <col min="5651" max="5652" width="2.7109375" style="613" customWidth="1"/>
    <col min="5653" max="5653" width="2.85546875" style="613" customWidth="1"/>
    <col min="5654" max="5655" width="3.140625" style="613" customWidth="1"/>
    <col min="5656" max="5656" width="2.28515625" style="613" customWidth="1"/>
    <col min="5657" max="5657" width="2.7109375" style="613" customWidth="1"/>
    <col min="5658" max="5658" width="1.28515625" style="613" customWidth="1"/>
    <col min="5659" max="5659" width="1.140625" style="613" customWidth="1"/>
    <col min="5660" max="5660" width="2.7109375" style="613" customWidth="1"/>
    <col min="5661" max="5662" width="1.28515625" style="613" customWidth="1"/>
    <col min="5663" max="5663" width="3.42578125" style="613" customWidth="1"/>
    <col min="5664" max="5664" width="2.7109375" style="613" customWidth="1"/>
    <col min="5665" max="5665" width="6.7109375" style="613" customWidth="1"/>
    <col min="5666" max="5666" width="4.28515625" style="613" customWidth="1"/>
    <col min="5667" max="5667" width="3.7109375" style="613" customWidth="1"/>
    <col min="5668" max="5668" width="5.42578125" style="613" customWidth="1"/>
    <col min="5669" max="5669" width="2.7109375" style="613" customWidth="1"/>
    <col min="5670" max="5670" width="4.42578125" style="613" customWidth="1"/>
    <col min="5671" max="5686" width="2.7109375" style="613" customWidth="1"/>
    <col min="5687" max="5888" width="11.42578125" style="613"/>
    <col min="5889" max="5889" width="3.5703125" style="613" customWidth="1"/>
    <col min="5890" max="5890" width="2.7109375" style="613" customWidth="1"/>
    <col min="5891" max="5891" width="1" style="613" customWidth="1"/>
    <col min="5892" max="5892" width="4.28515625" style="613" customWidth="1"/>
    <col min="5893" max="5899" width="2.7109375" style="613" customWidth="1"/>
    <col min="5900" max="5900" width="1.5703125" style="613" customWidth="1"/>
    <col min="5901" max="5903" width="2.7109375" style="613" customWidth="1"/>
    <col min="5904" max="5904" width="1.42578125" style="613" customWidth="1"/>
    <col min="5905" max="5905" width="1.85546875" style="613" customWidth="1"/>
    <col min="5906" max="5906" width="2.85546875" style="613" customWidth="1"/>
    <col min="5907" max="5908" width="2.7109375" style="613" customWidth="1"/>
    <col min="5909" max="5909" width="2.85546875" style="613" customWidth="1"/>
    <col min="5910" max="5911" width="3.140625" style="613" customWidth="1"/>
    <col min="5912" max="5912" width="2.28515625" style="613" customWidth="1"/>
    <col min="5913" max="5913" width="2.7109375" style="613" customWidth="1"/>
    <col min="5914" max="5914" width="1.28515625" style="613" customWidth="1"/>
    <col min="5915" max="5915" width="1.140625" style="613" customWidth="1"/>
    <col min="5916" max="5916" width="2.7109375" style="613" customWidth="1"/>
    <col min="5917" max="5918" width="1.28515625" style="613" customWidth="1"/>
    <col min="5919" max="5919" width="3.42578125" style="613" customWidth="1"/>
    <col min="5920" max="5920" width="2.7109375" style="613" customWidth="1"/>
    <col min="5921" max="5921" width="6.7109375" style="613" customWidth="1"/>
    <col min="5922" max="5922" width="4.28515625" style="613" customWidth="1"/>
    <col min="5923" max="5923" width="3.7109375" style="613" customWidth="1"/>
    <col min="5924" max="5924" width="5.42578125" style="613" customWidth="1"/>
    <col min="5925" max="5925" width="2.7109375" style="613" customWidth="1"/>
    <col min="5926" max="5926" width="4.42578125" style="613" customWidth="1"/>
    <col min="5927" max="5942" width="2.7109375" style="613" customWidth="1"/>
    <col min="5943" max="6144" width="11.42578125" style="613"/>
    <col min="6145" max="6145" width="3.5703125" style="613" customWidth="1"/>
    <col min="6146" max="6146" width="2.7109375" style="613" customWidth="1"/>
    <col min="6147" max="6147" width="1" style="613" customWidth="1"/>
    <col min="6148" max="6148" width="4.28515625" style="613" customWidth="1"/>
    <col min="6149" max="6155" width="2.7109375" style="613" customWidth="1"/>
    <col min="6156" max="6156" width="1.5703125" style="613" customWidth="1"/>
    <col min="6157" max="6159" width="2.7109375" style="613" customWidth="1"/>
    <col min="6160" max="6160" width="1.42578125" style="613" customWidth="1"/>
    <col min="6161" max="6161" width="1.85546875" style="613" customWidth="1"/>
    <col min="6162" max="6162" width="2.85546875" style="613" customWidth="1"/>
    <col min="6163" max="6164" width="2.7109375" style="613" customWidth="1"/>
    <col min="6165" max="6165" width="2.85546875" style="613" customWidth="1"/>
    <col min="6166" max="6167" width="3.140625" style="613" customWidth="1"/>
    <col min="6168" max="6168" width="2.28515625" style="613" customWidth="1"/>
    <col min="6169" max="6169" width="2.7109375" style="613" customWidth="1"/>
    <col min="6170" max="6170" width="1.28515625" style="613" customWidth="1"/>
    <col min="6171" max="6171" width="1.140625" style="613" customWidth="1"/>
    <col min="6172" max="6172" width="2.7109375" style="613" customWidth="1"/>
    <col min="6173" max="6174" width="1.28515625" style="613" customWidth="1"/>
    <col min="6175" max="6175" width="3.42578125" style="613" customWidth="1"/>
    <col min="6176" max="6176" width="2.7109375" style="613" customWidth="1"/>
    <col min="6177" max="6177" width="6.7109375" style="613" customWidth="1"/>
    <col min="6178" max="6178" width="4.28515625" style="613" customWidth="1"/>
    <col min="6179" max="6179" width="3.7109375" style="613" customWidth="1"/>
    <col min="6180" max="6180" width="5.42578125" style="613" customWidth="1"/>
    <col min="6181" max="6181" width="2.7109375" style="613" customWidth="1"/>
    <col min="6182" max="6182" width="4.42578125" style="613" customWidth="1"/>
    <col min="6183" max="6198" width="2.7109375" style="613" customWidth="1"/>
    <col min="6199" max="6400" width="11.42578125" style="613"/>
    <col min="6401" max="6401" width="3.5703125" style="613" customWidth="1"/>
    <col min="6402" max="6402" width="2.7109375" style="613" customWidth="1"/>
    <col min="6403" max="6403" width="1" style="613" customWidth="1"/>
    <col min="6404" max="6404" width="4.28515625" style="613" customWidth="1"/>
    <col min="6405" max="6411" width="2.7109375" style="613" customWidth="1"/>
    <col min="6412" max="6412" width="1.5703125" style="613" customWidth="1"/>
    <col min="6413" max="6415" width="2.7109375" style="613" customWidth="1"/>
    <col min="6416" max="6416" width="1.42578125" style="613" customWidth="1"/>
    <col min="6417" max="6417" width="1.85546875" style="613" customWidth="1"/>
    <col min="6418" max="6418" width="2.85546875" style="613" customWidth="1"/>
    <col min="6419" max="6420" width="2.7109375" style="613" customWidth="1"/>
    <col min="6421" max="6421" width="2.85546875" style="613" customWidth="1"/>
    <col min="6422" max="6423" width="3.140625" style="613" customWidth="1"/>
    <col min="6424" max="6424" width="2.28515625" style="613" customWidth="1"/>
    <col min="6425" max="6425" width="2.7109375" style="613" customWidth="1"/>
    <col min="6426" max="6426" width="1.28515625" style="613" customWidth="1"/>
    <col min="6427" max="6427" width="1.140625" style="613" customWidth="1"/>
    <col min="6428" max="6428" width="2.7109375" style="613" customWidth="1"/>
    <col min="6429" max="6430" width="1.28515625" style="613" customWidth="1"/>
    <col min="6431" max="6431" width="3.42578125" style="613" customWidth="1"/>
    <col min="6432" max="6432" width="2.7109375" style="613" customWidth="1"/>
    <col min="6433" max="6433" width="6.7109375" style="613" customWidth="1"/>
    <col min="6434" max="6434" width="4.28515625" style="613" customWidth="1"/>
    <col min="6435" max="6435" width="3.7109375" style="613" customWidth="1"/>
    <col min="6436" max="6436" width="5.42578125" style="613" customWidth="1"/>
    <col min="6437" max="6437" width="2.7109375" style="613" customWidth="1"/>
    <col min="6438" max="6438" width="4.42578125" style="613" customWidth="1"/>
    <col min="6439" max="6454" width="2.7109375" style="613" customWidth="1"/>
    <col min="6455" max="6656" width="11.42578125" style="613"/>
    <col min="6657" max="6657" width="3.5703125" style="613" customWidth="1"/>
    <col min="6658" max="6658" width="2.7109375" style="613" customWidth="1"/>
    <col min="6659" max="6659" width="1" style="613" customWidth="1"/>
    <col min="6660" max="6660" width="4.28515625" style="613" customWidth="1"/>
    <col min="6661" max="6667" width="2.7109375" style="613" customWidth="1"/>
    <col min="6668" max="6668" width="1.5703125" style="613" customWidth="1"/>
    <col min="6669" max="6671" width="2.7109375" style="613" customWidth="1"/>
    <col min="6672" max="6672" width="1.42578125" style="613" customWidth="1"/>
    <col min="6673" max="6673" width="1.85546875" style="613" customWidth="1"/>
    <col min="6674" max="6674" width="2.85546875" style="613" customWidth="1"/>
    <col min="6675" max="6676" width="2.7109375" style="613" customWidth="1"/>
    <col min="6677" max="6677" width="2.85546875" style="613" customWidth="1"/>
    <col min="6678" max="6679" width="3.140625" style="613" customWidth="1"/>
    <col min="6680" max="6680" width="2.28515625" style="613" customWidth="1"/>
    <col min="6681" max="6681" width="2.7109375" style="613" customWidth="1"/>
    <col min="6682" max="6682" width="1.28515625" style="613" customWidth="1"/>
    <col min="6683" max="6683" width="1.140625" style="613" customWidth="1"/>
    <col min="6684" max="6684" width="2.7109375" style="613" customWidth="1"/>
    <col min="6685" max="6686" width="1.28515625" style="613" customWidth="1"/>
    <col min="6687" max="6687" width="3.42578125" style="613" customWidth="1"/>
    <col min="6688" max="6688" width="2.7109375" style="613" customWidth="1"/>
    <col min="6689" max="6689" width="6.7109375" style="613" customWidth="1"/>
    <col min="6690" max="6690" width="4.28515625" style="613" customWidth="1"/>
    <col min="6691" max="6691" width="3.7109375" style="613" customWidth="1"/>
    <col min="6692" max="6692" width="5.42578125" style="613" customWidth="1"/>
    <col min="6693" max="6693" width="2.7109375" style="613" customWidth="1"/>
    <col min="6694" max="6694" width="4.42578125" style="613" customWidth="1"/>
    <col min="6695" max="6710" width="2.7109375" style="613" customWidth="1"/>
    <col min="6711" max="6912" width="11.42578125" style="613"/>
    <col min="6913" max="6913" width="3.5703125" style="613" customWidth="1"/>
    <col min="6914" max="6914" width="2.7109375" style="613" customWidth="1"/>
    <col min="6915" max="6915" width="1" style="613" customWidth="1"/>
    <col min="6916" max="6916" width="4.28515625" style="613" customWidth="1"/>
    <col min="6917" max="6923" width="2.7109375" style="613" customWidth="1"/>
    <col min="6924" max="6924" width="1.5703125" style="613" customWidth="1"/>
    <col min="6925" max="6927" width="2.7109375" style="613" customWidth="1"/>
    <col min="6928" max="6928" width="1.42578125" style="613" customWidth="1"/>
    <col min="6929" max="6929" width="1.85546875" style="613" customWidth="1"/>
    <col min="6930" max="6930" width="2.85546875" style="613" customWidth="1"/>
    <col min="6931" max="6932" width="2.7109375" style="613" customWidth="1"/>
    <col min="6933" max="6933" width="2.85546875" style="613" customWidth="1"/>
    <col min="6934" max="6935" width="3.140625" style="613" customWidth="1"/>
    <col min="6936" max="6936" width="2.28515625" style="613" customWidth="1"/>
    <col min="6937" max="6937" width="2.7109375" style="613" customWidth="1"/>
    <col min="6938" max="6938" width="1.28515625" style="613" customWidth="1"/>
    <col min="6939" max="6939" width="1.140625" style="613" customWidth="1"/>
    <col min="6940" max="6940" width="2.7109375" style="613" customWidth="1"/>
    <col min="6941" max="6942" width="1.28515625" style="613" customWidth="1"/>
    <col min="6943" max="6943" width="3.42578125" style="613" customWidth="1"/>
    <col min="6944" max="6944" width="2.7109375" style="613" customWidth="1"/>
    <col min="6945" max="6945" width="6.7109375" style="613" customWidth="1"/>
    <col min="6946" max="6946" width="4.28515625" style="613" customWidth="1"/>
    <col min="6947" max="6947" width="3.7109375" style="613" customWidth="1"/>
    <col min="6948" max="6948" width="5.42578125" style="613" customWidth="1"/>
    <col min="6949" max="6949" width="2.7109375" style="613" customWidth="1"/>
    <col min="6950" max="6950" width="4.42578125" style="613" customWidth="1"/>
    <col min="6951" max="6966" width="2.7109375" style="613" customWidth="1"/>
    <col min="6967" max="7168" width="11.42578125" style="613"/>
    <col min="7169" max="7169" width="3.5703125" style="613" customWidth="1"/>
    <col min="7170" max="7170" width="2.7109375" style="613" customWidth="1"/>
    <col min="7171" max="7171" width="1" style="613" customWidth="1"/>
    <col min="7172" max="7172" width="4.28515625" style="613" customWidth="1"/>
    <col min="7173" max="7179" width="2.7109375" style="613" customWidth="1"/>
    <col min="7180" max="7180" width="1.5703125" style="613" customWidth="1"/>
    <col min="7181" max="7183" width="2.7109375" style="613" customWidth="1"/>
    <col min="7184" max="7184" width="1.42578125" style="613" customWidth="1"/>
    <col min="7185" max="7185" width="1.85546875" style="613" customWidth="1"/>
    <col min="7186" max="7186" width="2.85546875" style="613" customWidth="1"/>
    <col min="7187" max="7188" width="2.7109375" style="613" customWidth="1"/>
    <col min="7189" max="7189" width="2.85546875" style="613" customWidth="1"/>
    <col min="7190" max="7191" width="3.140625" style="613" customWidth="1"/>
    <col min="7192" max="7192" width="2.28515625" style="613" customWidth="1"/>
    <col min="7193" max="7193" width="2.7109375" style="613" customWidth="1"/>
    <col min="7194" max="7194" width="1.28515625" style="613" customWidth="1"/>
    <col min="7195" max="7195" width="1.140625" style="613" customWidth="1"/>
    <col min="7196" max="7196" width="2.7109375" style="613" customWidth="1"/>
    <col min="7197" max="7198" width="1.28515625" style="613" customWidth="1"/>
    <col min="7199" max="7199" width="3.42578125" style="613" customWidth="1"/>
    <col min="7200" max="7200" width="2.7109375" style="613" customWidth="1"/>
    <col min="7201" max="7201" width="6.7109375" style="613" customWidth="1"/>
    <col min="7202" max="7202" width="4.28515625" style="613" customWidth="1"/>
    <col min="7203" max="7203" width="3.7109375" style="613" customWidth="1"/>
    <col min="7204" max="7204" width="5.42578125" style="613" customWidth="1"/>
    <col min="7205" max="7205" width="2.7109375" style="613" customWidth="1"/>
    <col min="7206" max="7206" width="4.42578125" style="613" customWidth="1"/>
    <col min="7207" max="7222" width="2.7109375" style="613" customWidth="1"/>
    <col min="7223" max="7424" width="11.42578125" style="613"/>
    <col min="7425" max="7425" width="3.5703125" style="613" customWidth="1"/>
    <col min="7426" max="7426" width="2.7109375" style="613" customWidth="1"/>
    <col min="7427" max="7427" width="1" style="613" customWidth="1"/>
    <col min="7428" max="7428" width="4.28515625" style="613" customWidth="1"/>
    <col min="7429" max="7435" width="2.7109375" style="613" customWidth="1"/>
    <col min="7436" max="7436" width="1.5703125" style="613" customWidth="1"/>
    <col min="7437" max="7439" width="2.7109375" style="613" customWidth="1"/>
    <col min="7440" max="7440" width="1.42578125" style="613" customWidth="1"/>
    <col min="7441" max="7441" width="1.85546875" style="613" customWidth="1"/>
    <col min="7442" max="7442" width="2.85546875" style="613" customWidth="1"/>
    <col min="7443" max="7444" width="2.7109375" style="613" customWidth="1"/>
    <col min="7445" max="7445" width="2.85546875" style="613" customWidth="1"/>
    <col min="7446" max="7447" width="3.140625" style="613" customWidth="1"/>
    <col min="7448" max="7448" width="2.28515625" style="613" customWidth="1"/>
    <col min="7449" max="7449" width="2.7109375" style="613" customWidth="1"/>
    <col min="7450" max="7450" width="1.28515625" style="613" customWidth="1"/>
    <col min="7451" max="7451" width="1.140625" style="613" customWidth="1"/>
    <col min="7452" max="7452" width="2.7109375" style="613" customWidth="1"/>
    <col min="7453" max="7454" width="1.28515625" style="613" customWidth="1"/>
    <col min="7455" max="7455" width="3.42578125" style="613" customWidth="1"/>
    <col min="7456" max="7456" width="2.7109375" style="613" customWidth="1"/>
    <col min="7457" max="7457" width="6.7109375" style="613" customWidth="1"/>
    <col min="7458" max="7458" width="4.28515625" style="613" customWidth="1"/>
    <col min="7459" max="7459" width="3.7109375" style="613" customWidth="1"/>
    <col min="7460" max="7460" width="5.42578125" style="613" customWidth="1"/>
    <col min="7461" max="7461" width="2.7109375" style="613" customWidth="1"/>
    <col min="7462" max="7462" width="4.42578125" style="613" customWidth="1"/>
    <col min="7463" max="7478" width="2.7109375" style="613" customWidth="1"/>
    <col min="7479" max="7680" width="11.42578125" style="613"/>
    <col min="7681" max="7681" width="3.5703125" style="613" customWidth="1"/>
    <col min="7682" max="7682" width="2.7109375" style="613" customWidth="1"/>
    <col min="7683" max="7683" width="1" style="613" customWidth="1"/>
    <col min="7684" max="7684" width="4.28515625" style="613" customWidth="1"/>
    <col min="7685" max="7691" width="2.7109375" style="613" customWidth="1"/>
    <col min="7692" max="7692" width="1.5703125" style="613" customWidth="1"/>
    <col min="7693" max="7695" width="2.7109375" style="613" customWidth="1"/>
    <col min="7696" max="7696" width="1.42578125" style="613" customWidth="1"/>
    <col min="7697" max="7697" width="1.85546875" style="613" customWidth="1"/>
    <col min="7698" max="7698" width="2.85546875" style="613" customWidth="1"/>
    <col min="7699" max="7700" width="2.7109375" style="613" customWidth="1"/>
    <col min="7701" max="7701" width="2.85546875" style="613" customWidth="1"/>
    <col min="7702" max="7703" width="3.140625" style="613" customWidth="1"/>
    <col min="7704" max="7704" width="2.28515625" style="613" customWidth="1"/>
    <col min="7705" max="7705" width="2.7109375" style="613" customWidth="1"/>
    <col min="7706" max="7706" width="1.28515625" style="613" customWidth="1"/>
    <col min="7707" max="7707" width="1.140625" style="613" customWidth="1"/>
    <col min="7708" max="7708" width="2.7109375" style="613" customWidth="1"/>
    <col min="7709" max="7710" width="1.28515625" style="613" customWidth="1"/>
    <col min="7711" max="7711" width="3.42578125" style="613" customWidth="1"/>
    <col min="7712" max="7712" width="2.7109375" style="613" customWidth="1"/>
    <col min="7713" max="7713" width="6.7109375" style="613" customWidth="1"/>
    <col min="7714" max="7714" width="4.28515625" style="613" customWidth="1"/>
    <col min="7715" max="7715" width="3.7109375" style="613" customWidth="1"/>
    <col min="7716" max="7716" width="5.42578125" style="613" customWidth="1"/>
    <col min="7717" max="7717" width="2.7109375" style="613" customWidth="1"/>
    <col min="7718" max="7718" width="4.42578125" style="613" customWidth="1"/>
    <col min="7719" max="7734" width="2.7109375" style="613" customWidth="1"/>
    <col min="7735" max="7936" width="11.42578125" style="613"/>
    <col min="7937" max="7937" width="3.5703125" style="613" customWidth="1"/>
    <col min="7938" max="7938" width="2.7109375" style="613" customWidth="1"/>
    <col min="7939" max="7939" width="1" style="613" customWidth="1"/>
    <col min="7940" max="7940" width="4.28515625" style="613" customWidth="1"/>
    <col min="7941" max="7947" width="2.7109375" style="613" customWidth="1"/>
    <col min="7948" max="7948" width="1.5703125" style="613" customWidth="1"/>
    <col min="7949" max="7951" width="2.7109375" style="613" customWidth="1"/>
    <col min="7952" max="7952" width="1.42578125" style="613" customWidth="1"/>
    <col min="7953" max="7953" width="1.85546875" style="613" customWidth="1"/>
    <col min="7954" max="7954" width="2.85546875" style="613" customWidth="1"/>
    <col min="7955" max="7956" width="2.7109375" style="613" customWidth="1"/>
    <col min="7957" max="7957" width="2.85546875" style="613" customWidth="1"/>
    <col min="7958" max="7959" width="3.140625" style="613" customWidth="1"/>
    <col min="7960" max="7960" width="2.28515625" style="613" customWidth="1"/>
    <col min="7961" max="7961" width="2.7109375" style="613" customWidth="1"/>
    <col min="7962" max="7962" width="1.28515625" style="613" customWidth="1"/>
    <col min="7963" max="7963" width="1.140625" style="613" customWidth="1"/>
    <col min="7964" max="7964" width="2.7109375" style="613" customWidth="1"/>
    <col min="7965" max="7966" width="1.28515625" style="613" customWidth="1"/>
    <col min="7967" max="7967" width="3.42578125" style="613" customWidth="1"/>
    <col min="7968" max="7968" width="2.7109375" style="613" customWidth="1"/>
    <col min="7969" max="7969" width="6.7109375" style="613" customWidth="1"/>
    <col min="7970" max="7970" width="4.28515625" style="613" customWidth="1"/>
    <col min="7971" max="7971" width="3.7109375" style="613" customWidth="1"/>
    <col min="7972" max="7972" width="5.42578125" style="613" customWidth="1"/>
    <col min="7973" max="7973" width="2.7109375" style="613" customWidth="1"/>
    <col min="7974" max="7974" width="4.42578125" style="613" customWidth="1"/>
    <col min="7975" max="7990" width="2.7109375" style="613" customWidth="1"/>
    <col min="7991" max="8192" width="11.42578125" style="613"/>
    <col min="8193" max="8193" width="3.5703125" style="613" customWidth="1"/>
    <col min="8194" max="8194" width="2.7109375" style="613" customWidth="1"/>
    <col min="8195" max="8195" width="1" style="613" customWidth="1"/>
    <col min="8196" max="8196" width="4.28515625" style="613" customWidth="1"/>
    <col min="8197" max="8203" width="2.7109375" style="613" customWidth="1"/>
    <col min="8204" max="8204" width="1.5703125" style="613" customWidth="1"/>
    <col min="8205" max="8207" width="2.7109375" style="613" customWidth="1"/>
    <col min="8208" max="8208" width="1.42578125" style="613" customWidth="1"/>
    <col min="8209" max="8209" width="1.85546875" style="613" customWidth="1"/>
    <col min="8210" max="8210" width="2.85546875" style="613" customWidth="1"/>
    <col min="8211" max="8212" width="2.7109375" style="613" customWidth="1"/>
    <col min="8213" max="8213" width="2.85546875" style="613" customWidth="1"/>
    <col min="8214" max="8215" width="3.140625" style="613" customWidth="1"/>
    <col min="8216" max="8216" width="2.28515625" style="613" customWidth="1"/>
    <col min="8217" max="8217" width="2.7109375" style="613" customWidth="1"/>
    <col min="8218" max="8218" width="1.28515625" style="613" customWidth="1"/>
    <col min="8219" max="8219" width="1.140625" style="613" customWidth="1"/>
    <col min="8220" max="8220" width="2.7109375" style="613" customWidth="1"/>
    <col min="8221" max="8222" width="1.28515625" style="613" customWidth="1"/>
    <col min="8223" max="8223" width="3.42578125" style="613" customWidth="1"/>
    <col min="8224" max="8224" width="2.7109375" style="613" customWidth="1"/>
    <col min="8225" max="8225" width="6.7109375" style="613" customWidth="1"/>
    <col min="8226" max="8226" width="4.28515625" style="613" customWidth="1"/>
    <col min="8227" max="8227" width="3.7109375" style="613" customWidth="1"/>
    <col min="8228" max="8228" width="5.42578125" style="613" customWidth="1"/>
    <col min="8229" max="8229" width="2.7109375" style="613" customWidth="1"/>
    <col min="8230" max="8230" width="4.42578125" style="613" customWidth="1"/>
    <col min="8231" max="8246" width="2.7109375" style="613" customWidth="1"/>
    <col min="8247" max="8448" width="11.42578125" style="613"/>
    <col min="8449" max="8449" width="3.5703125" style="613" customWidth="1"/>
    <col min="8450" max="8450" width="2.7109375" style="613" customWidth="1"/>
    <col min="8451" max="8451" width="1" style="613" customWidth="1"/>
    <col min="8452" max="8452" width="4.28515625" style="613" customWidth="1"/>
    <col min="8453" max="8459" width="2.7109375" style="613" customWidth="1"/>
    <col min="8460" max="8460" width="1.5703125" style="613" customWidth="1"/>
    <col min="8461" max="8463" width="2.7109375" style="613" customWidth="1"/>
    <col min="8464" max="8464" width="1.42578125" style="613" customWidth="1"/>
    <col min="8465" max="8465" width="1.85546875" style="613" customWidth="1"/>
    <col min="8466" max="8466" width="2.85546875" style="613" customWidth="1"/>
    <col min="8467" max="8468" width="2.7109375" style="613" customWidth="1"/>
    <col min="8469" max="8469" width="2.85546875" style="613" customWidth="1"/>
    <col min="8470" max="8471" width="3.140625" style="613" customWidth="1"/>
    <col min="8472" max="8472" width="2.28515625" style="613" customWidth="1"/>
    <col min="8473" max="8473" width="2.7109375" style="613" customWidth="1"/>
    <col min="8474" max="8474" width="1.28515625" style="613" customWidth="1"/>
    <col min="8475" max="8475" width="1.140625" style="613" customWidth="1"/>
    <col min="8476" max="8476" width="2.7109375" style="613" customWidth="1"/>
    <col min="8477" max="8478" width="1.28515625" style="613" customWidth="1"/>
    <col min="8479" max="8479" width="3.42578125" style="613" customWidth="1"/>
    <col min="8480" max="8480" width="2.7109375" style="613" customWidth="1"/>
    <col min="8481" max="8481" width="6.7109375" style="613" customWidth="1"/>
    <col min="8482" max="8482" width="4.28515625" style="613" customWidth="1"/>
    <col min="8483" max="8483" width="3.7109375" style="613" customWidth="1"/>
    <col min="8484" max="8484" width="5.42578125" style="613" customWidth="1"/>
    <col min="8485" max="8485" width="2.7109375" style="613" customWidth="1"/>
    <col min="8486" max="8486" width="4.42578125" style="613" customWidth="1"/>
    <col min="8487" max="8502" width="2.7109375" style="613" customWidth="1"/>
    <col min="8503" max="8704" width="11.42578125" style="613"/>
    <col min="8705" max="8705" width="3.5703125" style="613" customWidth="1"/>
    <col min="8706" max="8706" width="2.7109375" style="613" customWidth="1"/>
    <col min="8707" max="8707" width="1" style="613" customWidth="1"/>
    <col min="8708" max="8708" width="4.28515625" style="613" customWidth="1"/>
    <col min="8709" max="8715" width="2.7109375" style="613" customWidth="1"/>
    <col min="8716" max="8716" width="1.5703125" style="613" customWidth="1"/>
    <col min="8717" max="8719" width="2.7109375" style="613" customWidth="1"/>
    <col min="8720" max="8720" width="1.42578125" style="613" customWidth="1"/>
    <col min="8721" max="8721" width="1.85546875" style="613" customWidth="1"/>
    <col min="8722" max="8722" width="2.85546875" style="613" customWidth="1"/>
    <col min="8723" max="8724" width="2.7109375" style="613" customWidth="1"/>
    <col min="8725" max="8725" width="2.85546875" style="613" customWidth="1"/>
    <col min="8726" max="8727" width="3.140625" style="613" customWidth="1"/>
    <col min="8728" max="8728" width="2.28515625" style="613" customWidth="1"/>
    <col min="8729" max="8729" width="2.7109375" style="613" customWidth="1"/>
    <col min="8730" max="8730" width="1.28515625" style="613" customWidth="1"/>
    <col min="8731" max="8731" width="1.140625" style="613" customWidth="1"/>
    <col min="8732" max="8732" width="2.7109375" style="613" customWidth="1"/>
    <col min="8733" max="8734" width="1.28515625" style="613" customWidth="1"/>
    <col min="8735" max="8735" width="3.42578125" style="613" customWidth="1"/>
    <col min="8736" max="8736" width="2.7109375" style="613" customWidth="1"/>
    <col min="8737" max="8737" width="6.7109375" style="613" customWidth="1"/>
    <col min="8738" max="8738" width="4.28515625" style="613" customWidth="1"/>
    <col min="8739" max="8739" width="3.7109375" style="613" customWidth="1"/>
    <col min="8740" max="8740" width="5.42578125" style="613" customWidth="1"/>
    <col min="8741" max="8741" width="2.7109375" style="613" customWidth="1"/>
    <col min="8742" max="8742" width="4.42578125" style="613" customWidth="1"/>
    <col min="8743" max="8758" width="2.7109375" style="613" customWidth="1"/>
    <col min="8759" max="8960" width="11.42578125" style="613"/>
    <col min="8961" max="8961" width="3.5703125" style="613" customWidth="1"/>
    <col min="8962" max="8962" width="2.7109375" style="613" customWidth="1"/>
    <col min="8963" max="8963" width="1" style="613" customWidth="1"/>
    <col min="8964" max="8964" width="4.28515625" style="613" customWidth="1"/>
    <col min="8965" max="8971" width="2.7109375" style="613" customWidth="1"/>
    <col min="8972" max="8972" width="1.5703125" style="613" customWidth="1"/>
    <col min="8973" max="8975" width="2.7109375" style="613" customWidth="1"/>
    <col min="8976" max="8976" width="1.42578125" style="613" customWidth="1"/>
    <col min="8977" max="8977" width="1.85546875" style="613" customWidth="1"/>
    <col min="8978" max="8978" width="2.85546875" style="613" customWidth="1"/>
    <col min="8979" max="8980" width="2.7109375" style="613" customWidth="1"/>
    <col min="8981" max="8981" width="2.85546875" style="613" customWidth="1"/>
    <col min="8982" max="8983" width="3.140625" style="613" customWidth="1"/>
    <col min="8984" max="8984" width="2.28515625" style="613" customWidth="1"/>
    <col min="8985" max="8985" width="2.7109375" style="613" customWidth="1"/>
    <col min="8986" max="8986" width="1.28515625" style="613" customWidth="1"/>
    <col min="8987" max="8987" width="1.140625" style="613" customWidth="1"/>
    <col min="8988" max="8988" width="2.7109375" style="613" customWidth="1"/>
    <col min="8989" max="8990" width="1.28515625" style="613" customWidth="1"/>
    <col min="8991" max="8991" width="3.42578125" style="613" customWidth="1"/>
    <col min="8992" max="8992" width="2.7109375" style="613" customWidth="1"/>
    <col min="8993" max="8993" width="6.7109375" style="613" customWidth="1"/>
    <col min="8994" max="8994" width="4.28515625" style="613" customWidth="1"/>
    <col min="8995" max="8995" width="3.7109375" style="613" customWidth="1"/>
    <col min="8996" max="8996" width="5.42578125" style="613" customWidth="1"/>
    <col min="8997" max="8997" width="2.7109375" style="613" customWidth="1"/>
    <col min="8998" max="8998" width="4.42578125" style="613" customWidth="1"/>
    <col min="8999" max="9014" width="2.7109375" style="613" customWidth="1"/>
    <col min="9015" max="9216" width="11.42578125" style="613"/>
    <col min="9217" max="9217" width="3.5703125" style="613" customWidth="1"/>
    <col min="9218" max="9218" width="2.7109375" style="613" customWidth="1"/>
    <col min="9219" max="9219" width="1" style="613" customWidth="1"/>
    <col min="9220" max="9220" width="4.28515625" style="613" customWidth="1"/>
    <col min="9221" max="9227" width="2.7109375" style="613" customWidth="1"/>
    <col min="9228" max="9228" width="1.5703125" style="613" customWidth="1"/>
    <col min="9229" max="9231" width="2.7109375" style="613" customWidth="1"/>
    <col min="9232" max="9232" width="1.42578125" style="613" customWidth="1"/>
    <col min="9233" max="9233" width="1.85546875" style="613" customWidth="1"/>
    <col min="9234" max="9234" width="2.85546875" style="613" customWidth="1"/>
    <col min="9235" max="9236" width="2.7109375" style="613" customWidth="1"/>
    <col min="9237" max="9237" width="2.85546875" style="613" customWidth="1"/>
    <col min="9238" max="9239" width="3.140625" style="613" customWidth="1"/>
    <col min="9240" max="9240" width="2.28515625" style="613" customWidth="1"/>
    <col min="9241" max="9241" width="2.7109375" style="613" customWidth="1"/>
    <col min="9242" max="9242" width="1.28515625" style="613" customWidth="1"/>
    <col min="9243" max="9243" width="1.140625" style="613" customWidth="1"/>
    <col min="9244" max="9244" width="2.7109375" style="613" customWidth="1"/>
    <col min="9245" max="9246" width="1.28515625" style="613" customWidth="1"/>
    <col min="9247" max="9247" width="3.42578125" style="613" customWidth="1"/>
    <col min="9248" max="9248" width="2.7109375" style="613" customWidth="1"/>
    <col min="9249" max="9249" width="6.7109375" style="613" customWidth="1"/>
    <col min="9250" max="9250" width="4.28515625" style="613" customWidth="1"/>
    <col min="9251" max="9251" width="3.7109375" style="613" customWidth="1"/>
    <col min="9252" max="9252" width="5.42578125" style="613" customWidth="1"/>
    <col min="9253" max="9253" width="2.7109375" style="613" customWidth="1"/>
    <col min="9254" max="9254" width="4.42578125" style="613" customWidth="1"/>
    <col min="9255" max="9270" width="2.7109375" style="613" customWidth="1"/>
    <col min="9271" max="9472" width="11.42578125" style="613"/>
    <col min="9473" max="9473" width="3.5703125" style="613" customWidth="1"/>
    <col min="9474" max="9474" width="2.7109375" style="613" customWidth="1"/>
    <col min="9475" max="9475" width="1" style="613" customWidth="1"/>
    <col min="9476" max="9476" width="4.28515625" style="613" customWidth="1"/>
    <col min="9477" max="9483" width="2.7109375" style="613" customWidth="1"/>
    <col min="9484" max="9484" width="1.5703125" style="613" customWidth="1"/>
    <col min="9485" max="9487" width="2.7109375" style="613" customWidth="1"/>
    <col min="9488" max="9488" width="1.42578125" style="613" customWidth="1"/>
    <col min="9489" max="9489" width="1.85546875" style="613" customWidth="1"/>
    <col min="9490" max="9490" width="2.85546875" style="613" customWidth="1"/>
    <col min="9491" max="9492" width="2.7109375" style="613" customWidth="1"/>
    <col min="9493" max="9493" width="2.85546875" style="613" customWidth="1"/>
    <col min="9494" max="9495" width="3.140625" style="613" customWidth="1"/>
    <col min="9496" max="9496" width="2.28515625" style="613" customWidth="1"/>
    <col min="9497" max="9497" width="2.7109375" style="613" customWidth="1"/>
    <col min="9498" max="9498" width="1.28515625" style="613" customWidth="1"/>
    <col min="9499" max="9499" width="1.140625" style="613" customWidth="1"/>
    <col min="9500" max="9500" width="2.7109375" style="613" customWidth="1"/>
    <col min="9501" max="9502" width="1.28515625" style="613" customWidth="1"/>
    <col min="9503" max="9503" width="3.42578125" style="613" customWidth="1"/>
    <col min="9504" max="9504" width="2.7109375" style="613" customWidth="1"/>
    <col min="9505" max="9505" width="6.7109375" style="613" customWidth="1"/>
    <col min="9506" max="9506" width="4.28515625" style="613" customWidth="1"/>
    <col min="9507" max="9507" width="3.7109375" style="613" customWidth="1"/>
    <col min="9508" max="9508" width="5.42578125" style="613" customWidth="1"/>
    <col min="9509" max="9509" width="2.7109375" style="613" customWidth="1"/>
    <col min="9510" max="9510" width="4.42578125" style="613" customWidth="1"/>
    <col min="9511" max="9526" width="2.7109375" style="613" customWidth="1"/>
    <col min="9527" max="9728" width="11.42578125" style="613"/>
    <col min="9729" max="9729" width="3.5703125" style="613" customWidth="1"/>
    <col min="9730" max="9730" width="2.7109375" style="613" customWidth="1"/>
    <col min="9731" max="9731" width="1" style="613" customWidth="1"/>
    <col min="9732" max="9732" width="4.28515625" style="613" customWidth="1"/>
    <col min="9733" max="9739" width="2.7109375" style="613" customWidth="1"/>
    <col min="9740" max="9740" width="1.5703125" style="613" customWidth="1"/>
    <col min="9741" max="9743" width="2.7109375" style="613" customWidth="1"/>
    <col min="9744" max="9744" width="1.42578125" style="613" customWidth="1"/>
    <col min="9745" max="9745" width="1.85546875" style="613" customWidth="1"/>
    <col min="9746" max="9746" width="2.85546875" style="613" customWidth="1"/>
    <col min="9747" max="9748" width="2.7109375" style="613" customWidth="1"/>
    <col min="9749" max="9749" width="2.85546875" style="613" customWidth="1"/>
    <col min="9750" max="9751" width="3.140625" style="613" customWidth="1"/>
    <col min="9752" max="9752" width="2.28515625" style="613" customWidth="1"/>
    <col min="9753" max="9753" width="2.7109375" style="613" customWidth="1"/>
    <col min="9754" max="9754" width="1.28515625" style="613" customWidth="1"/>
    <col min="9755" max="9755" width="1.140625" style="613" customWidth="1"/>
    <col min="9756" max="9756" width="2.7109375" style="613" customWidth="1"/>
    <col min="9757" max="9758" width="1.28515625" style="613" customWidth="1"/>
    <col min="9759" max="9759" width="3.42578125" style="613" customWidth="1"/>
    <col min="9760" max="9760" width="2.7109375" style="613" customWidth="1"/>
    <col min="9761" max="9761" width="6.7109375" style="613" customWidth="1"/>
    <col min="9762" max="9762" width="4.28515625" style="613" customWidth="1"/>
    <col min="9763" max="9763" width="3.7109375" style="613" customWidth="1"/>
    <col min="9764" max="9764" width="5.42578125" style="613" customWidth="1"/>
    <col min="9765" max="9765" width="2.7109375" style="613" customWidth="1"/>
    <col min="9766" max="9766" width="4.42578125" style="613" customWidth="1"/>
    <col min="9767" max="9782" width="2.7109375" style="613" customWidth="1"/>
    <col min="9783" max="9984" width="11.42578125" style="613"/>
    <col min="9985" max="9985" width="3.5703125" style="613" customWidth="1"/>
    <col min="9986" max="9986" width="2.7109375" style="613" customWidth="1"/>
    <col min="9987" max="9987" width="1" style="613" customWidth="1"/>
    <col min="9988" max="9988" width="4.28515625" style="613" customWidth="1"/>
    <col min="9989" max="9995" width="2.7109375" style="613" customWidth="1"/>
    <col min="9996" max="9996" width="1.5703125" style="613" customWidth="1"/>
    <col min="9997" max="9999" width="2.7109375" style="613" customWidth="1"/>
    <col min="10000" max="10000" width="1.42578125" style="613" customWidth="1"/>
    <col min="10001" max="10001" width="1.85546875" style="613" customWidth="1"/>
    <col min="10002" max="10002" width="2.85546875" style="613" customWidth="1"/>
    <col min="10003" max="10004" width="2.7109375" style="613" customWidth="1"/>
    <col min="10005" max="10005" width="2.85546875" style="613" customWidth="1"/>
    <col min="10006" max="10007" width="3.140625" style="613" customWidth="1"/>
    <col min="10008" max="10008" width="2.28515625" style="613" customWidth="1"/>
    <col min="10009" max="10009" width="2.7109375" style="613" customWidth="1"/>
    <col min="10010" max="10010" width="1.28515625" style="613" customWidth="1"/>
    <col min="10011" max="10011" width="1.140625" style="613" customWidth="1"/>
    <col min="10012" max="10012" width="2.7109375" style="613" customWidth="1"/>
    <col min="10013" max="10014" width="1.28515625" style="613" customWidth="1"/>
    <col min="10015" max="10015" width="3.42578125" style="613" customWidth="1"/>
    <col min="10016" max="10016" width="2.7109375" style="613" customWidth="1"/>
    <col min="10017" max="10017" width="6.7109375" style="613" customWidth="1"/>
    <col min="10018" max="10018" width="4.28515625" style="613" customWidth="1"/>
    <col min="10019" max="10019" width="3.7109375" style="613" customWidth="1"/>
    <col min="10020" max="10020" width="5.42578125" style="613" customWidth="1"/>
    <col min="10021" max="10021" width="2.7109375" style="613" customWidth="1"/>
    <col min="10022" max="10022" width="4.42578125" style="613" customWidth="1"/>
    <col min="10023" max="10038" width="2.7109375" style="613" customWidth="1"/>
    <col min="10039" max="10240" width="11.42578125" style="613"/>
    <col min="10241" max="10241" width="3.5703125" style="613" customWidth="1"/>
    <col min="10242" max="10242" width="2.7109375" style="613" customWidth="1"/>
    <col min="10243" max="10243" width="1" style="613" customWidth="1"/>
    <col min="10244" max="10244" width="4.28515625" style="613" customWidth="1"/>
    <col min="10245" max="10251" width="2.7109375" style="613" customWidth="1"/>
    <col min="10252" max="10252" width="1.5703125" style="613" customWidth="1"/>
    <col min="10253" max="10255" width="2.7109375" style="613" customWidth="1"/>
    <col min="10256" max="10256" width="1.42578125" style="613" customWidth="1"/>
    <col min="10257" max="10257" width="1.85546875" style="613" customWidth="1"/>
    <col min="10258" max="10258" width="2.85546875" style="613" customWidth="1"/>
    <col min="10259" max="10260" width="2.7109375" style="613" customWidth="1"/>
    <col min="10261" max="10261" width="2.85546875" style="613" customWidth="1"/>
    <col min="10262" max="10263" width="3.140625" style="613" customWidth="1"/>
    <col min="10264" max="10264" width="2.28515625" style="613" customWidth="1"/>
    <col min="10265" max="10265" width="2.7109375" style="613" customWidth="1"/>
    <col min="10266" max="10266" width="1.28515625" style="613" customWidth="1"/>
    <col min="10267" max="10267" width="1.140625" style="613" customWidth="1"/>
    <col min="10268" max="10268" width="2.7109375" style="613" customWidth="1"/>
    <col min="10269" max="10270" width="1.28515625" style="613" customWidth="1"/>
    <col min="10271" max="10271" width="3.42578125" style="613" customWidth="1"/>
    <col min="10272" max="10272" width="2.7109375" style="613" customWidth="1"/>
    <col min="10273" max="10273" width="6.7109375" style="613" customWidth="1"/>
    <col min="10274" max="10274" width="4.28515625" style="613" customWidth="1"/>
    <col min="10275" max="10275" width="3.7109375" style="613" customWidth="1"/>
    <col min="10276" max="10276" width="5.42578125" style="613" customWidth="1"/>
    <col min="10277" max="10277" width="2.7109375" style="613" customWidth="1"/>
    <col min="10278" max="10278" width="4.42578125" style="613" customWidth="1"/>
    <col min="10279" max="10294" width="2.7109375" style="613" customWidth="1"/>
    <col min="10295" max="10496" width="11.42578125" style="613"/>
    <col min="10497" max="10497" width="3.5703125" style="613" customWidth="1"/>
    <col min="10498" max="10498" width="2.7109375" style="613" customWidth="1"/>
    <col min="10499" max="10499" width="1" style="613" customWidth="1"/>
    <col min="10500" max="10500" width="4.28515625" style="613" customWidth="1"/>
    <col min="10501" max="10507" width="2.7109375" style="613" customWidth="1"/>
    <col min="10508" max="10508" width="1.5703125" style="613" customWidth="1"/>
    <col min="10509" max="10511" width="2.7109375" style="613" customWidth="1"/>
    <col min="10512" max="10512" width="1.42578125" style="613" customWidth="1"/>
    <col min="10513" max="10513" width="1.85546875" style="613" customWidth="1"/>
    <col min="10514" max="10514" width="2.85546875" style="613" customWidth="1"/>
    <col min="10515" max="10516" width="2.7109375" style="613" customWidth="1"/>
    <col min="10517" max="10517" width="2.85546875" style="613" customWidth="1"/>
    <col min="10518" max="10519" width="3.140625" style="613" customWidth="1"/>
    <col min="10520" max="10520" width="2.28515625" style="613" customWidth="1"/>
    <col min="10521" max="10521" width="2.7109375" style="613" customWidth="1"/>
    <col min="10522" max="10522" width="1.28515625" style="613" customWidth="1"/>
    <col min="10523" max="10523" width="1.140625" style="613" customWidth="1"/>
    <col min="10524" max="10524" width="2.7109375" style="613" customWidth="1"/>
    <col min="10525" max="10526" width="1.28515625" style="613" customWidth="1"/>
    <col min="10527" max="10527" width="3.42578125" style="613" customWidth="1"/>
    <col min="10528" max="10528" width="2.7109375" style="613" customWidth="1"/>
    <col min="10529" max="10529" width="6.7109375" style="613" customWidth="1"/>
    <col min="10530" max="10530" width="4.28515625" style="613" customWidth="1"/>
    <col min="10531" max="10531" width="3.7109375" style="613" customWidth="1"/>
    <col min="10532" max="10532" width="5.42578125" style="613" customWidth="1"/>
    <col min="10533" max="10533" width="2.7109375" style="613" customWidth="1"/>
    <col min="10534" max="10534" width="4.42578125" style="613" customWidth="1"/>
    <col min="10535" max="10550" width="2.7109375" style="613" customWidth="1"/>
    <col min="10551" max="10752" width="11.42578125" style="613"/>
    <col min="10753" max="10753" width="3.5703125" style="613" customWidth="1"/>
    <col min="10754" max="10754" width="2.7109375" style="613" customWidth="1"/>
    <col min="10755" max="10755" width="1" style="613" customWidth="1"/>
    <col min="10756" max="10756" width="4.28515625" style="613" customWidth="1"/>
    <col min="10757" max="10763" width="2.7109375" style="613" customWidth="1"/>
    <col min="10764" max="10764" width="1.5703125" style="613" customWidth="1"/>
    <col min="10765" max="10767" width="2.7109375" style="613" customWidth="1"/>
    <col min="10768" max="10768" width="1.42578125" style="613" customWidth="1"/>
    <col min="10769" max="10769" width="1.85546875" style="613" customWidth="1"/>
    <col min="10770" max="10770" width="2.85546875" style="613" customWidth="1"/>
    <col min="10771" max="10772" width="2.7109375" style="613" customWidth="1"/>
    <col min="10773" max="10773" width="2.85546875" style="613" customWidth="1"/>
    <col min="10774" max="10775" width="3.140625" style="613" customWidth="1"/>
    <col min="10776" max="10776" width="2.28515625" style="613" customWidth="1"/>
    <col min="10777" max="10777" width="2.7109375" style="613" customWidth="1"/>
    <col min="10778" max="10778" width="1.28515625" style="613" customWidth="1"/>
    <col min="10779" max="10779" width="1.140625" style="613" customWidth="1"/>
    <col min="10780" max="10780" width="2.7109375" style="613" customWidth="1"/>
    <col min="10781" max="10782" width="1.28515625" style="613" customWidth="1"/>
    <col min="10783" max="10783" width="3.42578125" style="613" customWidth="1"/>
    <col min="10784" max="10784" width="2.7109375" style="613" customWidth="1"/>
    <col min="10785" max="10785" width="6.7109375" style="613" customWidth="1"/>
    <col min="10786" max="10786" width="4.28515625" style="613" customWidth="1"/>
    <col min="10787" max="10787" width="3.7109375" style="613" customWidth="1"/>
    <col min="10788" max="10788" width="5.42578125" style="613" customWidth="1"/>
    <col min="10789" max="10789" width="2.7109375" style="613" customWidth="1"/>
    <col min="10790" max="10790" width="4.42578125" style="613" customWidth="1"/>
    <col min="10791" max="10806" width="2.7109375" style="613" customWidth="1"/>
    <col min="10807" max="11008" width="11.42578125" style="613"/>
    <col min="11009" max="11009" width="3.5703125" style="613" customWidth="1"/>
    <col min="11010" max="11010" width="2.7109375" style="613" customWidth="1"/>
    <col min="11011" max="11011" width="1" style="613" customWidth="1"/>
    <col min="11012" max="11012" width="4.28515625" style="613" customWidth="1"/>
    <col min="11013" max="11019" width="2.7109375" style="613" customWidth="1"/>
    <col min="11020" max="11020" width="1.5703125" style="613" customWidth="1"/>
    <col min="11021" max="11023" width="2.7109375" style="613" customWidth="1"/>
    <col min="11024" max="11024" width="1.42578125" style="613" customWidth="1"/>
    <col min="11025" max="11025" width="1.85546875" style="613" customWidth="1"/>
    <col min="11026" max="11026" width="2.85546875" style="613" customWidth="1"/>
    <col min="11027" max="11028" width="2.7109375" style="613" customWidth="1"/>
    <col min="11029" max="11029" width="2.85546875" style="613" customWidth="1"/>
    <col min="11030" max="11031" width="3.140625" style="613" customWidth="1"/>
    <col min="11032" max="11032" width="2.28515625" style="613" customWidth="1"/>
    <col min="11033" max="11033" width="2.7109375" style="613" customWidth="1"/>
    <col min="11034" max="11034" width="1.28515625" style="613" customWidth="1"/>
    <col min="11035" max="11035" width="1.140625" style="613" customWidth="1"/>
    <col min="11036" max="11036" width="2.7109375" style="613" customWidth="1"/>
    <col min="11037" max="11038" width="1.28515625" style="613" customWidth="1"/>
    <col min="11039" max="11039" width="3.42578125" style="613" customWidth="1"/>
    <col min="11040" max="11040" width="2.7109375" style="613" customWidth="1"/>
    <col min="11041" max="11041" width="6.7109375" style="613" customWidth="1"/>
    <col min="11042" max="11042" width="4.28515625" style="613" customWidth="1"/>
    <col min="11043" max="11043" width="3.7109375" style="613" customWidth="1"/>
    <col min="11044" max="11044" width="5.42578125" style="613" customWidth="1"/>
    <col min="11045" max="11045" width="2.7109375" style="613" customWidth="1"/>
    <col min="11046" max="11046" width="4.42578125" style="613" customWidth="1"/>
    <col min="11047" max="11062" width="2.7109375" style="613" customWidth="1"/>
    <col min="11063" max="11264" width="11.42578125" style="613"/>
    <col min="11265" max="11265" width="3.5703125" style="613" customWidth="1"/>
    <col min="11266" max="11266" width="2.7109375" style="613" customWidth="1"/>
    <col min="11267" max="11267" width="1" style="613" customWidth="1"/>
    <col min="11268" max="11268" width="4.28515625" style="613" customWidth="1"/>
    <col min="11269" max="11275" width="2.7109375" style="613" customWidth="1"/>
    <col min="11276" max="11276" width="1.5703125" style="613" customWidth="1"/>
    <col min="11277" max="11279" width="2.7109375" style="613" customWidth="1"/>
    <col min="11280" max="11280" width="1.42578125" style="613" customWidth="1"/>
    <col min="11281" max="11281" width="1.85546875" style="613" customWidth="1"/>
    <col min="11282" max="11282" width="2.85546875" style="613" customWidth="1"/>
    <col min="11283" max="11284" width="2.7109375" style="613" customWidth="1"/>
    <col min="11285" max="11285" width="2.85546875" style="613" customWidth="1"/>
    <col min="11286" max="11287" width="3.140625" style="613" customWidth="1"/>
    <col min="11288" max="11288" width="2.28515625" style="613" customWidth="1"/>
    <col min="11289" max="11289" width="2.7109375" style="613" customWidth="1"/>
    <col min="11290" max="11290" width="1.28515625" style="613" customWidth="1"/>
    <col min="11291" max="11291" width="1.140625" style="613" customWidth="1"/>
    <col min="11292" max="11292" width="2.7109375" style="613" customWidth="1"/>
    <col min="11293" max="11294" width="1.28515625" style="613" customWidth="1"/>
    <col min="11295" max="11295" width="3.42578125" style="613" customWidth="1"/>
    <col min="11296" max="11296" width="2.7109375" style="613" customWidth="1"/>
    <col min="11297" max="11297" width="6.7109375" style="613" customWidth="1"/>
    <col min="11298" max="11298" width="4.28515625" style="613" customWidth="1"/>
    <col min="11299" max="11299" width="3.7109375" style="613" customWidth="1"/>
    <col min="11300" max="11300" width="5.42578125" style="613" customWidth="1"/>
    <col min="11301" max="11301" width="2.7109375" style="613" customWidth="1"/>
    <col min="11302" max="11302" width="4.42578125" style="613" customWidth="1"/>
    <col min="11303" max="11318" width="2.7109375" style="613" customWidth="1"/>
    <col min="11319" max="11520" width="11.42578125" style="613"/>
    <col min="11521" max="11521" width="3.5703125" style="613" customWidth="1"/>
    <col min="11522" max="11522" width="2.7109375" style="613" customWidth="1"/>
    <col min="11523" max="11523" width="1" style="613" customWidth="1"/>
    <col min="11524" max="11524" width="4.28515625" style="613" customWidth="1"/>
    <col min="11525" max="11531" width="2.7109375" style="613" customWidth="1"/>
    <col min="11532" max="11532" width="1.5703125" style="613" customWidth="1"/>
    <col min="11533" max="11535" width="2.7109375" style="613" customWidth="1"/>
    <col min="11536" max="11536" width="1.42578125" style="613" customWidth="1"/>
    <col min="11537" max="11537" width="1.85546875" style="613" customWidth="1"/>
    <col min="11538" max="11538" width="2.85546875" style="613" customWidth="1"/>
    <col min="11539" max="11540" width="2.7109375" style="613" customWidth="1"/>
    <col min="11541" max="11541" width="2.85546875" style="613" customWidth="1"/>
    <col min="11542" max="11543" width="3.140625" style="613" customWidth="1"/>
    <col min="11544" max="11544" width="2.28515625" style="613" customWidth="1"/>
    <col min="11545" max="11545" width="2.7109375" style="613" customWidth="1"/>
    <col min="11546" max="11546" width="1.28515625" style="613" customWidth="1"/>
    <col min="11547" max="11547" width="1.140625" style="613" customWidth="1"/>
    <col min="11548" max="11548" width="2.7109375" style="613" customWidth="1"/>
    <col min="11549" max="11550" width="1.28515625" style="613" customWidth="1"/>
    <col min="11551" max="11551" width="3.42578125" style="613" customWidth="1"/>
    <col min="11552" max="11552" width="2.7109375" style="613" customWidth="1"/>
    <col min="11553" max="11553" width="6.7109375" style="613" customWidth="1"/>
    <col min="11554" max="11554" width="4.28515625" style="613" customWidth="1"/>
    <col min="11555" max="11555" width="3.7109375" style="613" customWidth="1"/>
    <col min="11556" max="11556" width="5.42578125" style="613" customWidth="1"/>
    <col min="11557" max="11557" width="2.7109375" style="613" customWidth="1"/>
    <col min="11558" max="11558" width="4.42578125" style="613" customWidth="1"/>
    <col min="11559" max="11574" width="2.7109375" style="613" customWidth="1"/>
    <col min="11575" max="11776" width="11.42578125" style="613"/>
    <col min="11777" max="11777" width="3.5703125" style="613" customWidth="1"/>
    <col min="11778" max="11778" width="2.7109375" style="613" customWidth="1"/>
    <col min="11779" max="11779" width="1" style="613" customWidth="1"/>
    <col min="11780" max="11780" width="4.28515625" style="613" customWidth="1"/>
    <col min="11781" max="11787" width="2.7109375" style="613" customWidth="1"/>
    <col min="11788" max="11788" width="1.5703125" style="613" customWidth="1"/>
    <col min="11789" max="11791" width="2.7109375" style="613" customWidth="1"/>
    <col min="11792" max="11792" width="1.42578125" style="613" customWidth="1"/>
    <col min="11793" max="11793" width="1.85546875" style="613" customWidth="1"/>
    <col min="11794" max="11794" width="2.85546875" style="613" customWidth="1"/>
    <col min="11795" max="11796" width="2.7109375" style="613" customWidth="1"/>
    <col min="11797" max="11797" width="2.85546875" style="613" customWidth="1"/>
    <col min="11798" max="11799" width="3.140625" style="613" customWidth="1"/>
    <col min="11800" max="11800" width="2.28515625" style="613" customWidth="1"/>
    <col min="11801" max="11801" width="2.7109375" style="613" customWidth="1"/>
    <col min="11802" max="11802" width="1.28515625" style="613" customWidth="1"/>
    <col min="11803" max="11803" width="1.140625" style="613" customWidth="1"/>
    <col min="11804" max="11804" width="2.7109375" style="613" customWidth="1"/>
    <col min="11805" max="11806" width="1.28515625" style="613" customWidth="1"/>
    <col min="11807" max="11807" width="3.42578125" style="613" customWidth="1"/>
    <col min="11808" max="11808" width="2.7109375" style="613" customWidth="1"/>
    <col min="11809" max="11809" width="6.7109375" style="613" customWidth="1"/>
    <col min="11810" max="11810" width="4.28515625" style="613" customWidth="1"/>
    <col min="11811" max="11811" width="3.7109375" style="613" customWidth="1"/>
    <col min="11812" max="11812" width="5.42578125" style="613" customWidth="1"/>
    <col min="11813" max="11813" width="2.7109375" style="613" customWidth="1"/>
    <col min="11814" max="11814" width="4.42578125" style="613" customWidth="1"/>
    <col min="11815" max="11830" width="2.7109375" style="613" customWidth="1"/>
    <col min="11831" max="12032" width="11.42578125" style="613"/>
    <col min="12033" max="12033" width="3.5703125" style="613" customWidth="1"/>
    <col min="12034" max="12034" width="2.7109375" style="613" customWidth="1"/>
    <col min="12035" max="12035" width="1" style="613" customWidth="1"/>
    <col min="12036" max="12036" width="4.28515625" style="613" customWidth="1"/>
    <col min="12037" max="12043" width="2.7109375" style="613" customWidth="1"/>
    <col min="12044" max="12044" width="1.5703125" style="613" customWidth="1"/>
    <col min="12045" max="12047" width="2.7109375" style="613" customWidth="1"/>
    <col min="12048" max="12048" width="1.42578125" style="613" customWidth="1"/>
    <col min="12049" max="12049" width="1.85546875" style="613" customWidth="1"/>
    <col min="12050" max="12050" width="2.85546875" style="613" customWidth="1"/>
    <col min="12051" max="12052" width="2.7109375" style="613" customWidth="1"/>
    <col min="12053" max="12053" width="2.85546875" style="613" customWidth="1"/>
    <col min="12054" max="12055" width="3.140625" style="613" customWidth="1"/>
    <col min="12056" max="12056" width="2.28515625" style="613" customWidth="1"/>
    <col min="12057" max="12057" width="2.7109375" style="613" customWidth="1"/>
    <col min="12058" max="12058" width="1.28515625" style="613" customWidth="1"/>
    <col min="12059" max="12059" width="1.140625" style="613" customWidth="1"/>
    <col min="12060" max="12060" width="2.7109375" style="613" customWidth="1"/>
    <col min="12061" max="12062" width="1.28515625" style="613" customWidth="1"/>
    <col min="12063" max="12063" width="3.42578125" style="613" customWidth="1"/>
    <col min="12064" max="12064" width="2.7109375" style="613" customWidth="1"/>
    <col min="12065" max="12065" width="6.7109375" style="613" customWidth="1"/>
    <col min="12066" max="12066" width="4.28515625" style="613" customWidth="1"/>
    <col min="12067" max="12067" width="3.7109375" style="613" customWidth="1"/>
    <col min="12068" max="12068" width="5.42578125" style="613" customWidth="1"/>
    <col min="12069" max="12069" width="2.7109375" style="613" customWidth="1"/>
    <col min="12070" max="12070" width="4.42578125" style="613" customWidth="1"/>
    <col min="12071" max="12086" width="2.7109375" style="613" customWidth="1"/>
    <col min="12087" max="12288" width="11.42578125" style="613"/>
    <col min="12289" max="12289" width="3.5703125" style="613" customWidth="1"/>
    <col min="12290" max="12290" width="2.7109375" style="613" customWidth="1"/>
    <col min="12291" max="12291" width="1" style="613" customWidth="1"/>
    <col min="12292" max="12292" width="4.28515625" style="613" customWidth="1"/>
    <col min="12293" max="12299" width="2.7109375" style="613" customWidth="1"/>
    <col min="12300" max="12300" width="1.5703125" style="613" customWidth="1"/>
    <col min="12301" max="12303" width="2.7109375" style="613" customWidth="1"/>
    <col min="12304" max="12304" width="1.42578125" style="613" customWidth="1"/>
    <col min="12305" max="12305" width="1.85546875" style="613" customWidth="1"/>
    <col min="12306" max="12306" width="2.85546875" style="613" customWidth="1"/>
    <col min="12307" max="12308" width="2.7109375" style="613" customWidth="1"/>
    <col min="12309" max="12309" width="2.85546875" style="613" customWidth="1"/>
    <col min="12310" max="12311" width="3.140625" style="613" customWidth="1"/>
    <col min="12312" max="12312" width="2.28515625" style="613" customWidth="1"/>
    <col min="12313" max="12313" width="2.7109375" style="613" customWidth="1"/>
    <col min="12314" max="12314" width="1.28515625" style="613" customWidth="1"/>
    <col min="12315" max="12315" width="1.140625" style="613" customWidth="1"/>
    <col min="12316" max="12316" width="2.7109375" style="613" customWidth="1"/>
    <col min="12317" max="12318" width="1.28515625" style="613" customWidth="1"/>
    <col min="12319" max="12319" width="3.42578125" style="613" customWidth="1"/>
    <col min="12320" max="12320" width="2.7109375" style="613" customWidth="1"/>
    <col min="12321" max="12321" width="6.7109375" style="613" customWidth="1"/>
    <col min="12322" max="12322" width="4.28515625" style="613" customWidth="1"/>
    <col min="12323" max="12323" width="3.7109375" style="613" customWidth="1"/>
    <col min="12324" max="12324" width="5.42578125" style="613" customWidth="1"/>
    <col min="12325" max="12325" width="2.7109375" style="613" customWidth="1"/>
    <col min="12326" max="12326" width="4.42578125" style="613" customWidth="1"/>
    <col min="12327" max="12342" width="2.7109375" style="613" customWidth="1"/>
    <col min="12343" max="12544" width="11.42578125" style="613"/>
    <col min="12545" max="12545" width="3.5703125" style="613" customWidth="1"/>
    <col min="12546" max="12546" width="2.7109375" style="613" customWidth="1"/>
    <col min="12547" max="12547" width="1" style="613" customWidth="1"/>
    <col min="12548" max="12548" width="4.28515625" style="613" customWidth="1"/>
    <col min="12549" max="12555" width="2.7109375" style="613" customWidth="1"/>
    <col min="12556" max="12556" width="1.5703125" style="613" customWidth="1"/>
    <col min="12557" max="12559" width="2.7109375" style="613" customWidth="1"/>
    <col min="12560" max="12560" width="1.42578125" style="613" customWidth="1"/>
    <col min="12561" max="12561" width="1.85546875" style="613" customWidth="1"/>
    <col min="12562" max="12562" width="2.85546875" style="613" customWidth="1"/>
    <col min="12563" max="12564" width="2.7109375" style="613" customWidth="1"/>
    <col min="12565" max="12565" width="2.85546875" style="613" customWidth="1"/>
    <col min="12566" max="12567" width="3.140625" style="613" customWidth="1"/>
    <col min="12568" max="12568" width="2.28515625" style="613" customWidth="1"/>
    <col min="12569" max="12569" width="2.7109375" style="613" customWidth="1"/>
    <col min="12570" max="12570" width="1.28515625" style="613" customWidth="1"/>
    <col min="12571" max="12571" width="1.140625" style="613" customWidth="1"/>
    <col min="12572" max="12572" width="2.7109375" style="613" customWidth="1"/>
    <col min="12573" max="12574" width="1.28515625" style="613" customWidth="1"/>
    <col min="12575" max="12575" width="3.42578125" style="613" customWidth="1"/>
    <col min="12576" max="12576" width="2.7109375" style="613" customWidth="1"/>
    <col min="12577" max="12577" width="6.7109375" style="613" customWidth="1"/>
    <col min="12578" max="12578" width="4.28515625" style="613" customWidth="1"/>
    <col min="12579" max="12579" width="3.7109375" style="613" customWidth="1"/>
    <col min="12580" max="12580" width="5.42578125" style="613" customWidth="1"/>
    <col min="12581" max="12581" width="2.7109375" style="613" customWidth="1"/>
    <col min="12582" max="12582" width="4.42578125" style="613" customWidth="1"/>
    <col min="12583" max="12598" width="2.7109375" style="613" customWidth="1"/>
    <col min="12599" max="12800" width="11.42578125" style="613"/>
    <col min="12801" max="12801" width="3.5703125" style="613" customWidth="1"/>
    <col min="12802" max="12802" width="2.7109375" style="613" customWidth="1"/>
    <col min="12803" max="12803" width="1" style="613" customWidth="1"/>
    <col min="12804" max="12804" width="4.28515625" style="613" customWidth="1"/>
    <col min="12805" max="12811" width="2.7109375" style="613" customWidth="1"/>
    <col min="12812" max="12812" width="1.5703125" style="613" customWidth="1"/>
    <col min="12813" max="12815" width="2.7109375" style="613" customWidth="1"/>
    <col min="12816" max="12816" width="1.42578125" style="613" customWidth="1"/>
    <col min="12817" max="12817" width="1.85546875" style="613" customWidth="1"/>
    <col min="12818" max="12818" width="2.85546875" style="613" customWidth="1"/>
    <col min="12819" max="12820" width="2.7109375" style="613" customWidth="1"/>
    <col min="12821" max="12821" width="2.85546875" style="613" customWidth="1"/>
    <col min="12822" max="12823" width="3.140625" style="613" customWidth="1"/>
    <col min="12824" max="12824" width="2.28515625" style="613" customWidth="1"/>
    <col min="12825" max="12825" width="2.7109375" style="613" customWidth="1"/>
    <col min="12826" max="12826" width="1.28515625" style="613" customWidth="1"/>
    <col min="12827" max="12827" width="1.140625" style="613" customWidth="1"/>
    <col min="12828" max="12828" width="2.7109375" style="613" customWidth="1"/>
    <col min="12829" max="12830" width="1.28515625" style="613" customWidth="1"/>
    <col min="12831" max="12831" width="3.42578125" style="613" customWidth="1"/>
    <col min="12832" max="12832" width="2.7109375" style="613" customWidth="1"/>
    <col min="12833" max="12833" width="6.7109375" style="613" customWidth="1"/>
    <col min="12834" max="12834" width="4.28515625" style="613" customWidth="1"/>
    <col min="12835" max="12835" width="3.7109375" style="613" customWidth="1"/>
    <col min="12836" max="12836" width="5.42578125" style="613" customWidth="1"/>
    <col min="12837" max="12837" width="2.7109375" style="613" customWidth="1"/>
    <col min="12838" max="12838" width="4.42578125" style="613" customWidth="1"/>
    <col min="12839" max="12854" width="2.7109375" style="613" customWidth="1"/>
    <col min="12855" max="13056" width="11.42578125" style="613"/>
    <col min="13057" max="13057" width="3.5703125" style="613" customWidth="1"/>
    <col min="13058" max="13058" width="2.7109375" style="613" customWidth="1"/>
    <col min="13059" max="13059" width="1" style="613" customWidth="1"/>
    <col min="13060" max="13060" width="4.28515625" style="613" customWidth="1"/>
    <col min="13061" max="13067" width="2.7109375" style="613" customWidth="1"/>
    <col min="13068" max="13068" width="1.5703125" style="613" customWidth="1"/>
    <col min="13069" max="13071" width="2.7109375" style="613" customWidth="1"/>
    <col min="13072" max="13072" width="1.42578125" style="613" customWidth="1"/>
    <col min="13073" max="13073" width="1.85546875" style="613" customWidth="1"/>
    <col min="13074" max="13074" width="2.85546875" style="613" customWidth="1"/>
    <col min="13075" max="13076" width="2.7109375" style="613" customWidth="1"/>
    <col min="13077" max="13077" width="2.85546875" style="613" customWidth="1"/>
    <col min="13078" max="13079" width="3.140625" style="613" customWidth="1"/>
    <col min="13080" max="13080" width="2.28515625" style="613" customWidth="1"/>
    <col min="13081" max="13081" width="2.7109375" style="613" customWidth="1"/>
    <col min="13082" max="13082" width="1.28515625" style="613" customWidth="1"/>
    <col min="13083" max="13083" width="1.140625" style="613" customWidth="1"/>
    <col min="13084" max="13084" width="2.7109375" style="613" customWidth="1"/>
    <col min="13085" max="13086" width="1.28515625" style="613" customWidth="1"/>
    <col min="13087" max="13087" width="3.42578125" style="613" customWidth="1"/>
    <col min="13088" max="13088" width="2.7109375" style="613" customWidth="1"/>
    <col min="13089" max="13089" width="6.7109375" style="613" customWidth="1"/>
    <col min="13090" max="13090" width="4.28515625" style="613" customWidth="1"/>
    <col min="13091" max="13091" width="3.7109375" style="613" customWidth="1"/>
    <col min="13092" max="13092" width="5.42578125" style="613" customWidth="1"/>
    <col min="13093" max="13093" width="2.7109375" style="613" customWidth="1"/>
    <col min="13094" max="13094" width="4.42578125" style="613" customWidth="1"/>
    <col min="13095" max="13110" width="2.7109375" style="613" customWidth="1"/>
    <col min="13111" max="13312" width="11.42578125" style="613"/>
    <col min="13313" max="13313" width="3.5703125" style="613" customWidth="1"/>
    <col min="13314" max="13314" width="2.7109375" style="613" customWidth="1"/>
    <col min="13315" max="13315" width="1" style="613" customWidth="1"/>
    <col min="13316" max="13316" width="4.28515625" style="613" customWidth="1"/>
    <col min="13317" max="13323" width="2.7109375" style="613" customWidth="1"/>
    <col min="13324" max="13324" width="1.5703125" style="613" customWidth="1"/>
    <col min="13325" max="13327" width="2.7109375" style="613" customWidth="1"/>
    <col min="13328" max="13328" width="1.42578125" style="613" customWidth="1"/>
    <col min="13329" max="13329" width="1.85546875" style="613" customWidth="1"/>
    <col min="13330" max="13330" width="2.85546875" style="613" customWidth="1"/>
    <col min="13331" max="13332" width="2.7109375" style="613" customWidth="1"/>
    <col min="13333" max="13333" width="2.85546875" style="613" customWidth="1"/>
    <col min="13334" max="13335" width="3.140625" style="613" customWidth="1"/>
    <col min="13336" max="13336" width="2.28515625" style="613" customWidth="1"/>
    <col min="13337" max="13337" width="2.7109375" style="613" customWidth="1"/>
    <col min="13338" max="13338" width="1.28515625" style="613" customWidth="1"/>
    <col min="13339" max="13339" width="1.140625" style="613" customWidth="1"/>
    <col min="13340" max="13340" width="2.7109375" style="613" customWidth="1"/>
    <col min="13341" max="13342" width="1.28515625" style="613" customWidth="1"/>
    <col min="13343" max="13343" width="3.42578125" style="613" customWidth="1"/>
    <col min="13344" max="13344" width="2.7109375" style="613" customWidth="1"/>
    <col min="13345" max="13345" width="6.7109375" style="613" customWidth="1"/>
    <col min="13346" max="13346" width="4.28515625" style="613" customWidth="1"/>
    <col min="13347" max="13347" width="3.7109375" style="613" customWidth="1"/>
    <col min="13348" max="13348" width="5.42578125" style="613" customWidth="1"/>
    <col min="13349" max="13349" width="2.7109375" style="613" customWidth="1"/>
    <col min="13350" max="13350" width="4.42578125" style="613" customWidth="1"/>
    <col min="13351" max="13366" width="2.7109375" style="613" customWidth="1"/>
    <col min="13367" max="13568" width="11.42578125" style="613"/>
    <col min="13569" max="13569" width="3.5703125" style="613" customWidth="1"/>
    <col min="13570" max="13570" width="2.7109375" style="613" customWidth="1"/>
    <col min="13571" max="13571" width="1" style="613" customWidth="1"/>
    <col min="13572" max="13572" width="4.28515625" style="613" customWidth="1"/>
    <col min="13573" max="13579" width="2.7109375" style="613" customWidth="1"/>
    <col min="13580" max="13580" width="1.5703125" style="613" customWidth="1"/>
    <col min="13581" max="13583" width="2.7109375" style="613" customWidth="1"/>
    <col min="13584" max="13584" width="1.42578125" style="613" customWidth="1"/>
    <col min="13585" max="13585" width="1.85546875" style="613" customWidth="1"/>
    <col min="13586" max="13586" width="2.85546875" style="613" customWidth="1"/>
    <col min="13587" max="13588" width="2.7109375" style="613" customWidth="1"/>
    <col min="13589" max="13589" width="2.85546875" style="613" customWidth="1"/>
    <col min="13590" max="13591" width="3.140625" style="613" customWidth="1"/>
    <col min="13592" max="13592" width="2.28515625" style="613" customWidth="1"/>
    <col min="13593" max="13593" width="2.7109375" style="613" customWidth="1"/>
    <col min="13594" max="13594" width="1.28515625" style="613" customWidth="1"/>
    <col min="13595" max="13595" width="1.140625" style="613" customWidth="1"/>
    <col min="13596" max="13596" width="2.7109375" style="613" customWidth="1"/>
    <col min="13597" max="13598" width="1.28515625" style="613" customWidth="1"/>
    <col min="13599" max="13599" width="3.42578125" style="613" customWidth="1"/>
    <col min="13600" max="13600" width="2.7109375" style="613" customWidth="1"/>
    <col min="13601" max="13601" width="6.7109375" style="613" customWidth="1"/>
    <col min="13602" max="13602" width="4.28515625" style="613" customWidth="1"/>
    <col min="13603" max="13603" width="3.7109375" style="613" customWidth="1"/>
    <col min="13604" max="13604" width="5.42578125" style="613" customWidth="1"/>
    <col min="13605" max="13605" width="2.7109375" style="613" customWidth="1"/>
    <col min="13606" max="13606" width="4.42578125" style="613" customWidth="1"/>
    <col min="13607" max="13622" width="2.7109375" style="613" customWidth="1"/>
    <col min="13623" max="13824" width="11.42578125" style="613"/>
    <col min="13825" max="13825" width="3.5703125" style="613" customWidth="1"/>
    <col min="13826" max="13826" width="2.7109375" style="613" customWidth="1"/>
    <col min="13827" max="13827" width="1" style="613" customWidth="1"/>
    <col min="13828" max="13828" width="4.28515625" style="613" customWidth="1"/>
    <col min="13829" max="13835" width="2.7109375" style="613" customWidth="1"/>
    <col min="13836" max="13836" width="1.5703125" style="613" customWidth="1"/>
    <col min="13837" max="13839" width="2.7109375" style="613" customWidth="1"/>
    <col min="13840" max="13840" width="1.42578125" style="613" customWidth="1"/>
    <col min="13841" max="13841" width="1.85546875" style="613" customWidth="1"/>
    <col min="13842" max="13842" width="2.85546875" style="613" customWidth="1"/>
    <col min="13843" max="13844" width="2.7109375" style="613" customWidth="1"/>
    <col min="13845" max="13845" width="2.85546875" style="613" customWidth="1"/>
    <col min="13846" max="13847" width="3.140625" style="613" customWidth="1"/>
    <col min="13848" max="13848" width="2.28515625" style="613" customWidth="1"/>
    <col min="13849" max="13849" width="2.7109375" style="613" customWidth="1"/>
    <col min="13850" max="13850" width="1.28515625" style="613" customWidth="1"/>
    <col min="13851" max="13851" width="1.140625" style="613" customWidth="1"/>
    <col min="13852" max="13852" width="2.7109375" style="613" customWidth="1"/>
    <col min="13853" max="13854" width="1.28515625" style="613" customWidth="1"/>
    <col min="13855" max="13855" width="3.42578125" style="613" customWidth="1"/>
    <col min="13856" max="13856" width="2.7109375" style="613" customWidth="1"/>
    <col min="13857" max="13857" width="6.7109375" style="613" customWidth="1"/>
    <col min="13858" max="13858" width="4.28515625" style="613" customWidth="1"/>
    <col min="13859" max="13859" width="3.7109375" style="613" customWidth="1"/>
    <col min="13860" max="13860" width="5.42578125" style="613" customWidth="1"/>
    <col min="13861" max="13861" width="2.7109375" style="613" customWidth="1"/>
    <col min="13862" max="13862" width="4.42578125" style="613" customWidth="1"/>
    <col min="13863" max="13878" width="2.7109375" style="613" customWidth="1"/>
    <col min="13879" max="14080" width="11.42578125" style="613"/>
    <col min="14081" max="14081" width="3.5703125" style="613" customWidth="1"/>
    <col min="14082" max="14082" width="2.7109375" style="613" customWidth="1"/>
    <col min="14083" max="14083" width="1" style="613" customWidth="1"/>
    <col min="14084" max="14084" width="4.28515625" style="613" customWidth="1"/>
    <col min="14085" max="14091" width="2.7109375" style="613" customWidth="1"/>
    <col min="14092" max="14092" width="1.5703125" style="613" customWidth="1"/>
    <col min="14093" max="14095" width="2.7109375" style="613" customWidth="1"/>
    <col min="14096" max="14096" width="1.42578125" style="613" customWidth="1"/>
    <col min="14097" max="14097" width="1.85546875" style="613" customWidth="1"/>
    <col min="14098" max="14098" width="2.85546875" style="613" customWidth="1"/>
    <col min="14099" max="14100" width="2.7109375" style="613" customWidth="1"/>
    <col min="14101" max="14101" width="2.85546875" style="613" customWidth="1"/>
    <col min="14102" max="14103" width="3.140625" style="613" customWidth="1"/>
    <col min="14104" max="14104" width="2.28515625" style="613" customWidth="1"/>
    <col min="14105" max="14105" width="2.7109375" style="613" customWidth="1"/>
    <col min="14106" max="14106" width="1.28515625" style="613" customWidth="1"/>
    <col min="14107" max="14107" width="1.140625" style="613" customWidth="1"/>
    <col min="14108" max="14108" width="2.7109375" style="613" customWidth="1"/>
    <col min="14109" max="14110" width="1.28515625" style="613" customWidth="1"/>
    <col min="14111" max="14111" width="3.42578125" style="613" customWidth="1"/>
    <col min="14112" max="14112" width="2.7109375" style="613" customWidth="1"/>
    <col min="14113" max="14113" width="6.7109375" style="613" customWidth="1"/>
    <col min="14114" max="14114" width="4.28515625" style="613" customWidth="1"/>
    <col min="14115" max="14115" width="3.7109375" style="613" customWidth="1"/>
    <col min="14116" max="14116" width="5.42578125" style="613" customWidth="1"/>
    <col min="14117" max="14117" width="2.7109375" style="613" customWidth="1"/>
    <col min="14118" max="14118" width="4.42578125" style="613" customWidth="1"/>
    <col min="14119" max="14134" width="2.7109375" style="613" customWidth="1"/>
    <col min="14135" max="14336" width="11.42578125" style="613"/>
    <col min="14337" max="14337" width="3.5703125" style="613" customWidth="1"/>
    <col min="14338" max="14338" width="2.7109375" style="613" customWidth="1"/>
    <col min="14339" max="14339" width="1" style="613" customWidth="1"/>
    <col min="14340" max="14340" width="4.28515625" style="613" customWidth="1"/>
    <col min="14341" max="14347" width="2.7109375" style="613" customWidth="1"/>
    <col min="14348" max="14348" width="1.5703125" style="613" customWidth="1"/>
    <col min="14349" max="14351" width="2.7109375" style="613" customWidth="1"/>
    <col min="14352" max="14352" width="1.42578125" style="613" customWidth="1"/>
    <col min="14353" max="14353" width="1.85546875" style="613" customWidth="1"/>
    <col min="14354" max="14354" width="2.85546875" style="613" customWidth="1"/>
    <col min="14355" max="14356" width="2.7109375" style="613" customWidth="1"/>
    <col min="14357" max="14357" width="2.85546875" style="613" customWidth="1"/>
    <col min="14358" max="14359" width="3.140625" style="613" customWidth="1"/>
    <col min="14360" max="14360" width="2.28515625" style="613" customWidth="1"/>
    <col min="14361" max="14361" width="2.7109375" style="613" customWidth="1"/>
    <col min="14362" max="14362" width="1.28515625" style="613" customWidth="1"/>
    <col min="14363" max="14363" width="1.140625" style="613" customWidth="1"/>
    <col min="14364" max="14364" width="2.7109375" style="613" customWidth="1"/>
    <col min="14365" max="14366" width="1.28515625" style="613" customWidth="1"/>
    <col min="14367" max="14367" width="3.42578125" style="613" customWidth="1"/>
    <col min="14368" max="14368" width="2.7109375" style="613" customWidth="1"/>
    <col min="14369" max="14369" width="6.7109375" style="613" customWidth="1"/>
    <col min="14370" max="14370" width="4.28515625" style="613" customWidth="1"/>
    <col min="14371" max="14371" width="3.7109375" style="613" customWidth="1"/>
    <col min="14372" max="14372" width="5.42578125" style="613" customWidth="1"/>
    <col min="14373" max="14373" width="2.7109375" style="613" customWidth="1"/>
    <col min="14374" max="14374" width="4.42578125" style="613" customWidth="1"/>
    <col min="14375" max="14390" width="2.7109375" style="613" customWidth="1"/>
    <col min="14391" max="14592" width="11.42578125" style="613"/>
    <col min="14593" max="14593" width="3.5703125" style="613" customWidth="1"/>
    <col min="14594" max="14594" width="2.7109375" style="613" customWidth="1"/>
    <col min="14595" max="14595" width="1" style="613" customWidth="1"/>
    <col min="14596" max="14596" width="4.28515625" style="613" customWidth="1"/>
    <col min="14597" max="14603" width="2.7109375" style="613" customWidth="1"/>
    <col min="14604" max="14604" width="1.5703125" style="613" customWidth="1"/>
    <col min="14605" max="14607" width="2.7109375" style="613" customWidth="1"/>
    <col min="14608" max="14608" width="1.42578125" style="613" customWidth="1"/>
    <col min="14609" max="14609" width="1.85546875" style="613" customWidth="1"/>
    <col min="14610" max="14610" width="2.85546875" style="613" customWidth="1"/>
    <col min="14611" max="14612" width="2.7109375" style="613" customWidth="1"/>
    <col min="14613" max="14613" width="2.85546875" style="613" customWidth="1"/>
    <col min="14614" max="14615" width="3.140625" style="613" customWidth="1"/>
    <col min="14616" max="14616" width="2.28515625" style="613" customWidth="1"/>
    <col min="14617" max="14617" width="2.7109375" style="613" customWidth="1"/>
    <col min="14618" max="14618" width="1.28515625" style="613" customWidth="1"/>
    <col min="14619" max="14619" width="1.140625" style="613" customWidth="1"/>
    <col min="14620" max="14620" width="2.7109375" style="613" customWidth="1"/>
    <col min="14621" max="14622" width="1.28515625" style="613" customWidth="1"/>
    <col min="14623" max="14623" width="3.42578125" style="613" customWidth="1"/>
    <col min="14624" max="14624" width="2.7109375" style="613" customWidth="1"/>
    <col min="14625" max="14625" width="6.7109375" style="613" customWidth="1"/>
    <col min="14626" max="14626" width="4.28515625" style="613" customWidth="1"/>
    <col min="14627" max="14627" width="3.7109375" style="613" customWidth="1"/>
    <col min="14628" max="14628" width="5.42578125" style="613" customWidth="1"/>
    <col min="14629" max="14629" width="2.7109375" style="613" customWidth="1"/>
    <col min="14630" max="14630" width="4.42578125" style="613" customWidth="1"/>
    <col min="14631" max="14646" width="2.7109375" style="613" customWidth="1"/>
    <col min="14647" max="14848" width="11.42578125" style="613"/>
    <col min="14849" max="14849" width="3.5703125" style="613" customWidth="1"/>
    <col min="14850" max="14850" width="2.7109375" style="613" customWidth="1"/>
    <col min="14851" max="14851" width="1" style="613" customWidth="1"/>
    <col min="14852" max="14852" width="4.28515625" style="613" customWidth="1"/>
    <col min="14853" max="14859" width="2.7109375" style="613" customWidth="1"/>
    <col min="14860" max="14860" width="1.5703125" style="613" customWidth="1"/>
    <col min="14861" max="14863" width="2.7109375" style="613" customWidth="1"/>
    <col min="14864" max="14864" width="1.42578125" style="613" customWidth="1"/>
    <col min="14865" max="14865" width="1.85546875" style="613" customWidth="1"/>
    <col min="14866" max="14866" width="2.85546875" style="613" customWidth="1"/>
    <col min="14867" max="14868" width="2.7109375" style="613" customWidth="1"/>
    <col min="14869" max="14869" width="2.85546875" style="613" customWidth="1"/>
    <col min="14870" max="14871" width="3.140625" style="613" customWidth="1"/>
    <col min="14872" max="14872" width="2.28515625" style="613" customWidth="1"/>
    <col min="14873" max="14873" width="2.7109375" style="613" customWidth="1"/>
    <col min="14874" max="14874" width="1.28515625" style="613" customWidth="1"/>
    <col min="14875" max="14875" width="1.140625" style="613" customWidth="1"/>
    <col min="14876" max="14876" width="2.7109375" style="613" customWidth="1"/>
    <col min="14877" max="14878" width="1.28515625" style="613" customWidth="1"/>
    <col min="14879" max="14879" width="3.42578125" style="613" customWidth="1"/>
    <col min="14880" max="14880" width="2.7109375" style="613" customWidth="1"/>
    <col min="14881" max="14881" width="6.7109375" style="613" customWidth="1"/>
    <col min="14882" max="14882" width="4.28515625" style="613" customWidth="1"/>
    <col min="14883" max="14883" width="3.7109375" style="613" customWidth="1"/>
    <col min="14884" max="14884" width="5.42578125" style="613" customWidth="1"/>
    <col min="14885" max="14885" width="2.7109375" style="613" customWidth="1"/>
    <col min="14886" max="14886" width="4.42578125" style="613" customWidth="1"/>
    <col min="14887" max="14902" width="2.7109375" style="613" customWidth="1"/>
    <col min="14903" max="15104" width="11.42578125" style="613"/>
    <col min="15105" max="15105" width="3.5703125" style="613" customWidth="1"/>
    <col min="15106" max="15106" width="2.7109375" style="613" customWidth="1"/>
    <col min="15107" max="15107" width="1" style="613" customWidth="1"/>
    <col min="15108" max="15108" width="4.28515625" style="613" customWidth="1"/>
    <col min="15109" max="15115" width="2.7109375" style="613" customWidth="1"/>
    <col min="15116" max="15116" width="1.5703125" style="613" customWidth="1"/>
    <col min="15117" max="15119" width="2.7109375" style="613" customWidth="1"/>
    <col min="15120" max="15120" width="1.42578125" style="613" customWidth="1"/>
    <col min="15121" max="15121" width="1.85546875" style="613" customWidth="1"/>
    <col min="15122" max="15122" width="2.85546875" style="613" customWidth="1"/>
    <col min="15123" max="15124" width="2.7109375" style="613" customWidth="1"/>
    <col min="15125" max="15125" width="2.85546875" style="613" customWidth="1"/>
    <col min="15126" max="15127" width="3.140625" style="613" customWidth="1"/>
    <col min="15128" max="15128" width="2.28515625" style="613" customWidth="1"/>
    <col min="15129" max="15129" width="2.7109375" style="613" customWidth="1"/>
    <col min="15130" max="15130" width="1.28515625" style="613" customWidth="1"/>
    <col min="15131" max="15131" width="1.140625" style="613" customWidth="1"/>
    <col min="15132" max="15132" width="2.7109375" style="613" customWidth="1"/>
    <col min="15133" max="15134" width="1.28515625" style="613" customWidth="1"/>
    <col min="15135" max="15135" width="3.42578125" style="613" customWidth="1"/>
    <col min="15136" max="15136" width="2.7109375" style="613" customWidth="1"/>
    <col min="15137" max="15137" width="6.7109375" style="613" customWidth="1"/>
    <col min="15138" max="15138" width="4.28515625" style="613" customWidth="1"/>
    <col min="15139" max="15139" width="3.7109375" style="613" customWidth="1"/>
    <col min="15140" max="15140" width="5.42578125" style="613" customWidth="1"/>
    <col min="15141" max="15141" width="2.7109375" style="613" customWidth="1"/>
    <col min="15142" max="15142" width="4.42578125" style="613" customWidth="1"/>
    <col min="15143" max="15158" width="2.7109375" style="613" customWidth="1"/>
    <col min="15159" max="15360" width="11.42578125" style="613"/>
    <col min="15361" max="15361" width="3.5703125" style="613" customWidth="1"/>
    <col min="15362" max="15362" width="2.7109375" style="613" customWidth="1"/>
    <col min="15363" max="15363" width="1" style="613" customWidth="1"/>
    <col min="15364" max="15364" width="4.28515625" style="613" customWidth="1"/>
    <col min="15365" max="15371" width="2.7109375" style="613" customWidth="1"/>
    <col min="15372" max="15372" width="1.5703125" style="613" customWidth="1"/>
    <col min="15373" max="15375" width="2.7109375" style="613" customWidth="1"/>
    <col min="15376" max="15376" width="1.42578125" style="613" customWidth="1"/>
    <col min="15377" max="15377" width="1.85546875" style="613" customWidth="1"/>
    <col min="15378" max="15378" width="2.85546875" style="613" customWidth="1"/>
    <col min="15379" max="15380" width="2.7109375" style="613" customWidth="1"/>
    <col min="15381" max="15381" width="2.85546875" style="613" customWidth="1"/>
    <col min="15382" max="15383" width="3.140625" style="613" customWidth="1"/>
    <col min="15384" max="15384" width="2.28515625" style="613" customWidth="1"/>
    <col min="15385" max="15385" width="2.7109375" style="613" customWidth="1"/>
    <col min="15386" max="15386" width="1.28515625" style="613" customWidth="1"/>
    <col min="15387" max="15387" width="1.140625" style="613" customWidth="1"/>
    <col min="15388" max="15388" width="2.7109375" style="613" customWidth="1"/>
    <col min="15389" max="15390" width="1.28515625" style="613" customWidth="1"/>
    <col min="15391" max="15391" width="3.42578125" style="613" customWidth="1"/>
    <col min="15392" max="15392" width="2.7109375" style="613" customWidth="1"/>
    <col min="15393" max="15393" width="6.7109375" style="613" customWidth="1"/>
    <col min="15394" max="15394" width="4.28515625" style="613" customWidth="1"/>
    <col min="15395" max="15395" width="3.7109375" style="613" customWidth="1"/>
    <col min="15396" max="15396" width="5.42578125" style="613" customWidth="1"/>
    <col min="15397" max="15397" width="2.7109375" style="613" customWidth="1"/>
    <col min="15398" max="15398" width="4.42578125" style="613" customWidth="1"/>
    <col min="15399" max="15414" width="2.7109375" style="613" customWidth="1"/>
    <col min="15415" max="15616" width="11.42578125" style="613"/>
    <col min="15617" max="15617" width="3.5703125" style="613" customWidth="1"/>
    <col min="15618" max="15618" width="2.7109375" style="613" customWidth="1"/>
    <col min="15619" max="15619" width="1" style="613" customWidth="1"/>
    <col min="15620" max="15620" width="4.28515625" style="613" customWidth="1"/>
    <col min="15621" max="15627" width="2.7109375" style="613" customWidth="1"/>
    <col min="15628" max="15628" width="1.5703125" style="613" customWidth="1"/>
    <col min="15629" max="15631" width="2.7109375" style="613" customWidth="1"/>
    <col min="15632" max="15632" width="1.42578125" style="613" customWidth="1"/>
    <col min="15633" max="15633" width="1.85546875" style="613" customWidth="1"/>
    <col min="15634" max="15634" width="2.85546875" style="613" customWidth="1"/>
    <col min="15635" max="15636" width="2.7109375" style="613" customWidth="1"/>
    <col min="15637" max="15637" width="2.85546875" style="613" customWidth="1"/>
    <col min="15638" max="15639" width="3.140625" style="613" customWidth="1"/>
    <col min="15640" max="15640" width="2.28515625" style="613" customWidth="1"/>
    <col min="15641" max="15641" width="2.7109375" style="613" customWidth="1"/>
    <col min="15642" max="15642" width="1.28515625" style="613" customWidth="1"/>
    <col min="15643" max="15643" width="1.140625" style="613" customWidth="1"/>
    <col min="15644" max="15644" width="2.7109375" style="613" customWidth="1"/>
    <col min="15645" max="15646" width="1.28515625" style="613" customWidth="1"/>
    <col min="15647" max="15647" width="3.42578125" style="613" customWidth="1"/>
    <col min="15648" max="15648" width="2.7109375" style="613" customWidth="1"/>
    <col min="15649" max="15649" width="6.7109375" style="613" customWidth="1"/>
    <col min="15650" max="15650" width="4.28515625" style="613" customWidth="1"/>
    <col min="15651" max="15651" width="3.7109375" style="613" customWidth="1"/>
    <col min="15652" max="15652" width="5.42578125" style="613" customWidth="1"/>
    <col min="15653" max="15653" width="2.7109375" style="613" customWidth="1"/>
    <col min="15654" max="15654" width="4.42578125" style="613" customWidth="1"/>
    <col min="15655" max="15670" width="2.7109375" style="613" customWidth="1"/>
    <col min="15671" max="15872" width="11.42578125" style="613"/>
    <col min="15873" max="15873" width="3.5703125" style="613" customWidth="1"/>
    <col min="15874" max="15874" width="2.7109375" style="613" customWidth="1"/>
    <col min="15875" max="15875" width="1" style="613" customWidth="1"/>
    <col min="15876" max="15876" width="4.28515625" style="613" customWidth="1"/>
    <col min="15877" max="15883" width="2.7109375" style="613" customWidth="1"/>
    <col min="15884" max="15884" width="1.5703125" style="613" customWidth="1"/>
    <col min="15885" max="15887" width="2.7109375" style="613" customWidth="1"/>
    <col min="15888" max="15888" width="1.42578125" style="613" customWidth="1"/>
    <col min="15889" max="15889" width="1.85546875" style="613" customWidth="1"/>
    <col min="15890" max="15890" width="2.85546875" style="613" customWidth="1"/>
    <col min="15891" max="15892" width="2.7109375" style="613" customWidth="1"/>
    <col min="15893" max="15893" width="2.85546875" style="613" customWidth="1"/>
    <col min="15894" max="15895" width="3.140625" style="613" customWidth="1"/>
    <col min="15896" max="15896" width="2.28515625" style="613" customWidth="1"/>
    <col min="15897" max="15897" width="2.7109375" style="613" customWidth="1"/>
    <col min="15898" max="15898" width="1.28515625" style="613" customWidth="1"/>
    <col min="15899" max="15899" width="1.140625" style="613" customWidth="1"/>
    <col min="15900" max="15900" width="2.7109375" style="613" customWidth="1"/>
    <col min="15901" max="15902" width="1.28515625" style="613" customWidth="1"/>
    <col min="15903" max="15903" width="3.42578125" style="613" customWidth="1"/>
    <col min="15904" max="15904" width="2.7109375" style="613" customWidth="1"/>
    <col min="15905" max="15905" width="6.7109375" style="613" customWidth="1"/>
    <col min="15906" max="15906" width="4.28515625" style="613" customWidth="1"/>
    <col min="15907" max="15907" width="3.7109375" style="613" customWidth="1"/>
    <col min="15908" max="15908" width="5.42578125" style="613" customWidth="1"/>
    <col min="15909" max="15909" width="2.7109375" style="613" customWidth="1"/>
    <col min="15910" max="15910" width="4.42578125" style="613" customWidth="1"/>
    <col min="15911" max="15926" width="2.7109375" style="613" customWidth="1"/>
    <col min="15927" max="16128" width="11.42578125" style="613"/>
    <col min="16129" max="16129" width="3.5703125" style="613" customWidth="1"/>
    <col min="16130" max="16130" width="2.7109375" style="613" customWidth="1"/>
    <col min="16131" max="16131" width="1" style="613" customWidth="1"/>
    <col min="16132" max="16132" width="4.28515625" style="613" customWidth="1"/>
    <col min="16133" max="16139" width="2.7109375" style="613" customWidth="1"/>
    <col min="16140" max="16140" width="1.5703125" style="613" customWidth="1"/>
    <col min="16141" max="16143" width="2.7109375" style="613" customWidth="1"/>
    <col min="16144" max="16144" width="1.42578125" style="613" customWidth="1"/>
    <col min="16145" max="16145" width="1.85546875" style="613" customWidth="1"/>
    <col min="16146" max="16146" width="2.85546875" style="613" customWidth="1"/>
    <col min="16147" max="16148" width="2.7109375" style="613" customWidth="1"/>
    <col min="16149" max="16149" width="2.85546875" style="613" customWidth="1"/>
    <col min="16150" max="16151" width="3.140625" style="613" customWidth="1"/>
    <col min="16152" max="16152" width="2.28515625" style="613" customWidth="1"/>
    <col min="16153" max="16153" width="2.7109375" style="613" customWidth="1"/>
    <col min="16154" max="16154" width="1.28515625" style="613" customWidth="1"/>
    <col min="16155" max="16155" width="1.140625" style="613" customWidth="1"/>
    <col min="16156" max="16156" width="2.7109375" style="613" customWidth="1"/>
    <col min="16157" max="16158" width="1.28515625" style="613" customWidth="1"/>
    <col min="16159" max="16159" width="3.42578125" style="613" customWidth="1"/>
    <col min="16160" max="16160" width="2.7109375" style="613" customWidth="1"/>
    <col min="16161" max="16161" width="6.7109375" style="613" customWidth="1"/>
    <col min="16162" max="16162" width="4.28515625" style="613" customWidth="1"/>
    <col min="16163" max="16163" width="3.7109375" style="613" customWidth="1"/>
    <col min="16164" max="16164" width="5.42578125" style="613" customWidth="1"/>
    <col min="16165" max="16165" width="2.7109375" style="613" customWidth="1"/>
    <col min="16166" max="16166" width="4.42578125" style="613" customWidth="1"/>
    <col min="16167" max="16182" width="2.7109375" style="613" customWidth="1"/>
    <col min="16183" max="16384" width="11.42578125" style="613"/>
  </cols>
  <sheetData>
    <row r="4" spans="1:37" s="638" customFormat="1">
      <c r="B4" s="1316"/>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1317"/>
      <c r="AE4" s="1317"/>
      <c r="AF4" s="1317"/>
      <c r="AG4" s="1317"/>
      <c r="AH4" s="1317"/>
      <c r="AI4" s="1317"/>
      <c r="AJ4" s="1317"/>
      <c r="AK4" s="1318"/>
    </row>
    <row r="5" spans="1:37" s="638" customFormat="1" ht="14.25">
      <c r="A5" s="697"/>
      <c r="B5" s="726" t="s">
        <v>1636</v>
      </c>
      <c r="C5" s="761"/>
      <c r="D5" s="761"/>
      <c r="E5" s="761"/>
      <c r="F5" s="761"/>
      <c r="G5" s="761"/>
      <c r="H5" s="761"/>
      <c r="I5" s="761"/>
      <c r="J5" s="1328" t="s">
        <v>1692</v>
      </c>
      <c r="K5" s="1328"/>
      <c r="L5" s="1328"/>
      <c r="M5" s="1328"/>
      <c r="N5" s="1328"/>
      <c r="O5" s="1328"/>
      <c r="P5" s="1328"/>
      <c r="Q5" s="1328"/>
      <c r="R5" s="1328"/>
      <c r="S5" s="1328"/>
      <c r="T5" s="1328"/>
      <c r="U5" s="1328"/>
      <c r="V5" s="1328"/>
      <c r="W5" s="1328"/>
      <c r="X5" s="1328"/>
      <c r="Y5" s="1328"/>
      <c r="Z5" s="889"/>
      <c r="AA5" s="633"/>
      <c r="AB5" s="762" t="s">
        <v>1666</v>
      </c>
      <c r="AC5" s="633"/>
      <c r="AD5" s="633"/>
      <c r="AE5" s="633"/>
      <c r="AF5" s="633"/>
      <c r="AG5" s="633"/>
      <c r="AH5" s="1787">
        <v>46022</v>
      </c>
      <c r="AI5" s="1216"/>
      <c r="AJ5" s="1216"/>
      <c r="AK5" s="1217"/>
    </row>
    <row r="6" spans="1:37" s="638" customFormat="1" ht="14.25" customHeight="1">
      <c r="A6" s="697"/>
      <c r="B6" s="726" t="s">
        <v>1623</v>
      </c>
      <c r="C6" s="761"/>
      <c r="D6" s="761"/>
      <c r="E6" s="761"/>
      <c r="F6" s="761"/>
      <c r="G6" s="761"/>
      <c r="H6" s="761"/>
      <c r="I6" s="761"/>
      <c r="J6" s="633"/>
      <c r="K6" s="1327" t="str">
        <f>_soId</f>
        <v> 3201810353457</v>
      </c>
      <c r="L6" s="1327"/>
      <c r="M6" s="1327"/>
      <c r="N6" s="1327"/>
      <c r="O6" s="1327"/>
      <c r="P6" s="1327"/>
      <c r="Q6" s="1327"/>
      <c r="R6" s="1327"/>
      <c r="S6" s="1327"/>
      <c r="T6" s="633"/>
      <c r="U6" s="633"/>
      <c r="V6" s="633"/>
      <c r="W6" s="633"/>
      <c r="X6" s="633"/>
      <c r="Y6" s="633"/>
      <c r="Z6" s="633"/>
      <c r="AA6" s="633"/>
      <c r="AB6" s="1329" t="s">
        <v>1670</v>
      </c>
      <c r="AC6" s="1329"/>
      <c r="AD6" s="1329"/>
      <c r="AE6" s="1329"/>
      <c r="AF6" s="1329"/>
      <c r="AG6" s="1329"/>
      <c r="AH6" s="1216">
        <v>12</v>
      </c>
      <c r="AI6" s="1216"/>
      <c r="AJ6" s="1216"/>
      <c r="AK6" s="890"/>
    </row>
    <row r="7" spans="1:37" s="638" customFormat="1" ht="14.25">
      <c r="B7" s="699"/>
      <c r="C7" s="633"/>
      <c r="D7" s="633"/>
      <c r="E7" s="633"/>
      <c r="F7" s="633"/>
      <c r="G7" s="633"/>
      <c r="H7" s="633"/>
      <c r="I7" s="633"/>
      <c r="J7" s="633"/>
      <c r="K7" s="633"/>
      <c r="L7" s="633"/>
      <c r="M7" s="633"/>
      <c r="N7" s="633"/>
      <c r="O7" s="633"/>
      <c r="P7" s="633"/>
      <c r="Q7" s="633"/>
      <c r="R7" s="633"/>
      <c r="S7" s="633"/>
      <c r="T7" s="633"/>
      <c r="U7" s="633"/>
      <c r="V7" s="633"/>
      <c r="W7" s="633"/>
      <c r="X7" s="633"/>
      <c r="Y7" s="633"/>
      <c r="Z7" s="633"/>
      <c r="AA7" s="633"/>
      <c r="AB7" s="633"/>
      <c r="AC7" s="755"/>
      <c r="AD7" s="755"/>
      <c r="AE7" s="1319"/>
      <c r="AF7" s="1319"/>
      <c r="AG7" s="1319"/>
      <c r="AH7" s="1319"/>
      <c r="AI7" s="1319"/>
      <c r="AJ7" s="1319"/>
      <c r="AK7" s="1320"/>
    </row>
    <row r="8" spans="1:37" s="638" customFormat="1" ht="14.25" customHeight="1">
      <c r="B8" s="754"/>
      <c r="C8" s="752"/>
      <c r="D8" s="633"/>
      <c r="E8" s="633"/>
      <c r="F8" s="633"/>
      <c r="G8" s="633"/>
      <c r="H8" s="633"/>
      <c r="I8" s="753"/>
      <c r="J8" s="676"/>
      <c r="K8" s="676"/>
      <c r="L8" s="676"/>
      <c r="M8" s="676"/>
      <c r="N8" s="676"/>
      <c r="O8" s="676"/>
      <c r="P8" s="676"/>
      <c r="Q8" s="676"/>
      <c r="R8" s="751"/>
      <c r="S8" s="751"/>
      <c r="T8" s="751"/>
      <c r="U8" s="751"/>
      <c r="V8" s="751"/>
      <c r="W8" s="751"/>
      <c r="X8" s="675"/>
      <c r="Y8" s="675"/>
      <c r="Z8" s="675"/>
      <c r="AA8" s="675"/>
      <c r="AB8" s="675"/>
      <c r="AC8" s="751"/>
      <c r="AD8" s="751"/>
      <c r="AE8" s="751"/>
      <c r="AF8" s="751"/>
      <c r="AG8" s="751"/>
      <c r="AH8" s="751"/>
      <c r="AI8" s="674"/>
      <c r="AJ8" s="674"/>
      <c r="AK8" s="764"/>
    </row>
    <row r="9" spans="1:37" s="638" customFormat="1" ht="14.25" customHeight="1">
      <c r="B9" s="735"/>
      <c r="C9" s="734"/>
      <c r="D9" s="734"/>
      <c r="E9" s="734"/>
      <c r="F9" s="734"/>
      <c r="G9" s="734"/>
      <c r="H9" s="734"/>
      <c r="I9" s="734"/>
      <c r="J9" s="734"/>
      <c r="K9" s="734"/>
      <c r="L9" s="734"/>
      <c r="M9" s="734"/>
      <c r="N9" s="734"/>
      <c r="O9" s="734"/>
      <c r="P9" s="734"/>
      <c r="Q9" s="734"/>
      <c r="R9" s="734"/>
      <c r="S9" s="734"/>
      <c r="T9" s="733"/>
      <c r="U9" s="732"/>
      <c r="V9" s="729"/>
      <c r="W9" s="1321" t="s">
        <v>1622</v>
      </c>
      <c r="X9" s="1322"/>
      <c r="Y9" s="1322"/>
      <c r="Z9" s="1322"/>
      <c r="AA9" s="1322"/>
      <c r="AB9" s="1322"/>
      <c r="AC9" s="1322"/>
      <c r="AD9" s="1322"/>
      <c r="AE9" s="1322"/>
      <c r="AF9" s="1322"/>
      <c r="AG9" s="1322"/>
      <c r="AH9" s="1322"/>
      <c r="AI9" s="1322"/>
      <c r="AJ9" s="1322"/>
      <c r="AK9" s="1323"/>
    </row>
    <row r="10" spans="1:37" s="638" customFormat="1" ht="14.25" customHeight="1">
      <c r="B10" s="725" t="s">
        <v>1621</v>
      </c>
      <c r="C10" s="618"/>
      <c r="D10" s="668" t="s">
        <v>1620</v>
      </c>
      <c r="E10" s="618"/>
      <c r="F10" s="618"/>
      <c r="G10" s="618"/>
      <c r="H10" s="618"/>
      <c r="I10" s="618"/>
      <c r="J10" s="618"/>
      <c r="K10" s="618"/>
      <c r="L10" s="618"/>
      <c r="M10" s="618"/>
      <c r="N10" s="618"/>
      <c r="O10" s="659"/>
      <c r="P10" s="659"/>
      <c r="Q10" s="659"/>
      <c r="R10" s="724" t="s">
        <v>1693</v>
      </c>
      <c r="S10" s="724" t="s">
        <v>1694</v>
      </c>
      <c r="T10" s="692"/>
      <c r="U10" s="659"/>
      <c r="V10" s="659"/>
      <c r="W10" s="725" t="s">
        <v>1619</v>
      </c>
      <c r="X10" s="669" t="s">
        <v>1618</v>
      </c>
      <c r="Y10" s="659"/>
      <c r="Z10" s="659"/>
      <c r="AA10" s="659"/>
      <c r="AB10" s="659"/>
      <c r="AC10" s="659"/>
      <c r="AD10" s="659"/>
      <c r="AE10" s="659"/>
      <c r="AF10" s="659"/>
      <c r="AG10" s="659"/>
      <c r="AH10" s="659"/>
      <c r="AI10" s="731"/>
      <c r="AJ10" s="730"/>
      <c r="AK10" s="729"/>
    </row>
    <row r="11" spans="1:37" s="638" customFormat="1" ht="14.25" customHeight="1">
      <c r="B11" s="624"/>
      <c r="C11" s="618"/>
      <c r="D11" s="618"/>
      <c r="E11" s="618"/>
      <c r="F11" s="618"/>
      <c r="G11" s="618"/>
      <c r="H11" s="618"/>
      <c r="I11" s="618"/>
      <c r="J11" s="618"/>
      <c r="K11" s="618"/>
      <c r="L11" s="618"/>
      <c r="M11" s="618"/>
      <c r="N11" s="618"/>
      <c r="O11" s="659"/>
      <c r="P11" s="659"/>
      <c r="Q11" s="659"/>
      <c r="R11" s="661"/>
      <c r="S11" s="661"/>
      <c r="T11" s="660"/>
      <c r="U11" s="659"/>
      <c r="V11" s="659"/>
      <c r="W11" s="723"/>
      <c r="X11" s="659"/>
      <c r="Y11" s="659"/>
      <c r="Z11" s="659"/>
      <c r="AA11" s="659"/>
      <c r="AB11" s="659"/>
      <c r="AC11" s="659"/>
      <c r="AD11" s="659"/>
      <c r="AE11" s="659"/>
      <c r="AF11" s="659"/>
      <c r="AG11" s="659"/>
      <c r="AH11" s="659"/>
      <c r="AI11" s="723"/>
      <c r="AJ11" s="640"/>
      <c r="AK11" s="722"/>
    </row>
    <row r="12" spans="1:37" s="638" customFormat="1" ht="14.25" customHeight="1">
      <c r="B12" s="725" t="s">
        <v>1617</v>
      </c>
      <c r="C12" s="618"/>
      <c r="D12" s="668" t="s">
        <v>1616</v>
      </c>
      <c r="E12" s="618"/>
      <c r="F12" s="618"/>
      <c r="G12" s="618"/>
      <c r="H12" s="618"/>
      <c r="I12" s="618"/>
      <c r="J12" s="618"/>
      <c r="K12" s="618"/>
      <c r="L12" s="618"/>
      <c r="M12" s="618"/>
      <c r="N12" s="618"/>
      <c r="O12" s="659"/>
      <c r="P12" s="659"/>
      <c r="Q12" s="659"/>
      <c r="R12" s="724" t="s">
        <v>1693</v>
      </c>
      <c r="S12" s="759" t="s">
        <v>1694</v>
      </c>
      <c r="T12" s="660"/>
      <c r="U12" s="659"/>
      <c r="V12" s="659"/>
      <c r="W12" s="725" t="s">
        <v>1615</v>
      </c>
      <c r="X12" s="669" t="s">
        <v>1614</v>
      </c>
      <c r="Y12" s="659"/>
      <c r="Z12" s="659"/>
      <c r="AA12" s="659"/>
      <c r="AB12" s="659"/>
      <c r="AC12" s="659"/>
      <c r="AD12" s="659"/>
      <c r="AE12" s="659"/>
      <c r="AF12" s="659"/>
      <c r="AG12" s="659"/>
      <c r="AH12" s="659"/>
      <c r="AI12" s="723"/>
      <c r="AJ12" s="728" t="s">
        <v>1634</v>
      </c>
      <c r="AK12" s="722"/>
    </row>
    <row r="13" spans="1:37" s="638" customFormat="1" ht="14.25" customHeight="1">
      <c r="B13" s="624"/>
      <c r="C13" s="618"/>
      <c r="D13" s="618"/>
      <c r="E13" s="618"/>
      <c r="F13" s="618"/>
      <c r="G13" s="618"/>
      <c r="H13" s="618"/>
      <c r="I13" s="618"/>
      <c r="J13" s="618"/>
      <c r="K13" s="618"/>
      <c r="L13" s="618"/>
      <c r="M13" s="618"/>
      <c r="N13" s="618"/>
      <c r="O13" s="659"/>
      <c r="P13" s="659"/>
      <c r="Q13" s="659"/>
      <c r="R13" s="661"/>
      <c r="S13" s="661"/>
      <c r="T13" s="660"/>
      <c r="U13" s="659"/>
      <c r="V13" s="659"/>
      <c r="W13" s="723"/>
      <c r="X13" s="659"/>
      <c r="Y13" s="659"/>
      <c r="Z13" s="659"/>
      <c r="AA13" s="659"/>
      <c r="AB13" s="659"/>
      <c r="AC13" s="659"/>
      <c r="AD13" s="659"/>
      <c r="AE13" s="659"/>
      <c r="AF13" s="659"/>
      <c r="AG13" s="659"/>
      <c r="AH13" s="659"/>
      <c r="AI13" s="723"/>
      <c r="AJ13" s="667"/>
      <c r="AK13" s="722"/>
    </row>
    <row r="14" spans="1:37" s="638" customFormat="1" ht="14.25" customHeight="1">
      <c r="B14" s="725" t="s">
        <v>1613</v>
      </c>
      <c r="C14" s="618"/>
      <c r="D14" s="668" t="s">
        <v>1612</v>
      </c>
      <c r="E14" s="618"/>
      <c r="F14" s="618"/>
      <c r="G14" s="618"/>
      <c r="H14" s="618"/>
      <c r="I14" s="618"/>
      <c r="J14" s="618"/>
      <c r="K14" s="618"/>
      <c r="L14" s="618"/>
      <c r="M14" s="618"/>
      <c r="N14" s="618"/>
      <c r="O14" s="659"/>
      <c r="P14" s="659"/>
      <c r="Q14" s="659"/>
      <c r="R14" s="724" t="s">
        <v>1693</v>
      </c>
      <c r="S14" s="724" t="s">
        <v>1695</v>
      </c>
      <c r="T14" s="666"/>
      <c r="U14" s="659"/>
      <c r="V14" s="659"/>
      <c r="W14" s="725" t="s">
        <v>1611</v>
      </c>
      <c r="X14" s="669" t="s">
        <v>1610</v>
      </c>
      <c r="Y14" s="659"/>
      <c r="Z14" s="659"/>
      <c r="AA14" s="659"/>
      <c r="AB14" s="659"/>
      <c r="AC14" s="659"/>
      <c r="AD14" s="659"/>
      <c r="AE14" s="659"/>
      <c r="AF14" s="659"/>
      <c r="AG14" s="659"/>
      <c r="AH14" s="659"/>
      <c r="AI14" s="723"/>
      <c r="AJ14" s="728"/>
      <c r="AK14" s="722"/>
    </row>
    <row r="15" spans="1:37" s="638" customFormat="1" ht="14.25" customHeight="1">
      <c r="B15" s="624"/>
      <c r="C15" s="618"/>
      <c r="D15" s="618"/>
      <c r="E15" s="618"/>
      <c r="F15" s="618"/>
      <c r="G15" s="618"/>
      <c r="H15" s="618"/>
      <c r="I15" s="618"/>
      <c r="J15" s="618"/>
      <c r="K15" s="618"/>
      <c r="L15" s="618"/>
      <c r="M15" s="618"/>
      <c r="N15" s="618"/>
      <c r="O15" s="659"/>
      <c r="P15" s="659"/>
      <c r="Q15" s="659"/>
      <c r="R15" s="661"/>
      <c r="S15" s="661"/>
      <c r="T15" s="660"/>
      <c r="U15" s="659"/>
      <c r="V15" s="659"/>
      <c r="W15" s="723"/>
      <c r="X15" s="659"/>
      <c r="Y15" s="659"/>
      <c r="Z15" s="659"/>
      <c r="AA15" s="659"/>
      <c r="AB15" s="659"/>
      <c r="AC15" s="659"/>
      <c r="AD15" s="659"/>
      <c r="AE15" s="659"/>
      <c r="AF15" s="659"/>
      <c r="AG15" s="659"/>
      <c r="AH15" s="659"/>
      <c r="AI15" s="723"/>
      <c r="AJ15" s="659"/>
      <c r="AK15" s="722"/>
    </row>
    <row r="16" spans="1:37" s="638" customFormat="1" ht="14.25" customHeight="1">
      <c r="B16" s="725" t="s">
        <v>1609</v>
      </c>
      <c r="C16" s="633"/>
      <c r="D16" s="727" t="s">
        <v>1608</v>
      </c>
      <c r="E16" s="618"/>
      <c r="F16" s="618"/>
      <c r="G16" s="618"/>
      <c r="H16" s="618"/>
      <c r="I16" s="618"/>
      <c r="J16" s="618"/>
      <c r="K16" s="618"/>
      <c r="L16" s="618"/>
      <c r="M16" s="618"/>
      <c r="N16" s="618"/>
      <c r="O16" s="659"/>
      <c r="P16" s="659"/>
      <c r="Q16" s="659"/>
      <c r="R16" s="724" t="s">
        <v>1693</v>
      </c>
      <c r="S16" s="724" t="s">
        <v>1695</v>
      </c>
      <c r="T16" s="660"/>
      <c r="U16" s="659"/>
      <c r="V16" s="659"/>
      <c r="W16" s="723"/>
      <c r="X16" s="659"/>
      <c r="Y16" s="659"/>
      <c r="Z16" s="659"/>
      <c r="AA16" s="659"/>
      <c r="AB16" s="659"/>
      <c r="AC16" s="659"/>
      <c r="AD16" s="659"/>
      <c r="AE16" s="659"/>
      <c r="AF16" s="659"/>
      <c r="AG16" s="659"/>
      <c r="AH16" s="659"/>
      <c r="AI16" s="723"/>
      <c r="AJ16" s="659"/>
      <c r="AK16" s="722"/>
    </row>
    <row r="17" spans="1:57" s="638" customFormat="1" ht="14.25" customHeight="1">
      <c r="B17" s="624"/>
      <c r="C17" s="618"/>
      <c r="D17" s="618"/>
      <c r="E17" s="618"/>
      <c r="F17" s="618"/>
      <c r="G17" s="618"/>
      <c r="H17" s="618"/>
      <c r="I17" s="618"/>
      <c r="J17" s="618"/>
      <c r="K17" s="618"/>
      <c r="L17" s="618"/>
      <c r="M17" s="618"/>
      <c r="N17" s="618"/>
      <c r="O17" s="659"/>
      <c r="P17" s="659"/>
      <c r="Q17" s="659"/>
      <c r="R17" s="651"/>
      <c r="S17" s="651"/>
      <c r="T17" s="660"/>
      <c r="U17" s="659"/>
      <c r="V17" s="659"/>
      <c r="W17" s="723"/>
      <c r="X17" s="659"/>
      <c r="Y17" s="659"/>
      <c r="Z17" s="659"/>
      <c r="AA17" s="659"/>
      <c r="AB17" s="659"/>
      <c r="AC17" s="659"/>
      <c r="AD17" s="659"/>
      <c r="AE17" s="659"/>
      <c r="AF17" s="659"/>
      <c r="AG17" s="659"/>
      <c r="AH17" s="659"/>
      <c r="AI17" s="723"/>
      <c r="AJ17" s="659"/>
      <c r="AK17" s="722"/>
    </row>
    <row r="18" spans="1:57" s="638" customFormat="1" ht="14.25" customHeight="1">
      <c r="B18" s="725" t="s">
        <v>1607</v>
      </c>
      <c r="C18" s="618"/>
      <c r="D18" s="668" t="s">
        <v>1606</v>
      </c>
      <c r="E18" s="618"/>
      <c r="F18" s="618"/>
      <c r="G18" s="618"/>
      <c r="H18" s="618"/>
      <c r="I18" s="618"/>
      <c r="J18" s="618"/>
      <c r="K18" s="618"/>
      <c r="L18" s="618"/>
      <c r="M18" s="618"/>
      <c r="N18" s="618"/>
      <c r="O18" s="659"/>
      <c r="P18" s="659"/>
      <c r="Q18" s="659"/>
      <c r="R18" s="724" t="s">
        <v>1693</v>
      </c>
      <c r="S18" s="724" t="s">
        <v>1693</v>
      </c>
      <c r="T18" s="660"/>
      <c r="U18" s="659"/>
      <c r="V18" s="659"/>
      <c r="W18" s="723"/>
      <c r="X18" s="659"/>
      <c r="Y18" s="659"/>
      <c r="Z18" s="659"/>
      <c r="AA18" s="659"/>
      <c r="AB18" s="659"/>
      <c r="AC18" s="659"/>
      <c r="AD18" s="659"/>
      <c r="AE18" s="659"/>
      <c r="AF18" s="659"/>
      <c r="AG18" s="659"/>
      <c r="AH18" s="659"/>
      <c r="AI18" s="723"/>
      <c r="AJ18" s="659"/>
      <c r="AK18" s="722"/>
    </row>
    <row r="19" spans="1:57" s="638" customFormat="1" ht="14.25" customHeight="1">
      <c r="B19" s="726"/>
      <c r="C19" s="618"/>
      <c r="D19" s="668" t="s">
        <v>1605</v>
      </c>
      <c r="E19" s="618"/>
      <c r="F19" s="618"/>
      <c r="G19" s="618"/>
      <c r="H19" s="618"/>
      <c r="I19" s="618"/>
      <c r="J19" s="618"/>
      <c r="K19" s="618"/>
      <c r="L19" s="618"/>
      <c r="M19" s="618"/>
      <c r="N19" s="618"/>
      <c r="O19" s="659"/>
      <c r="P19" s="659"/>
      <c r="Q19" s="659"/>
      <c r="R19" s="618"/>
      <c r="S19" s="618"/>
      <c r="T19" s="660"/>
      <c r="U19" s="659"/>
      <c r="V19" s="659"/>
      <c r="W19" s="723"/>
      <c r="X19" s="659"/>
      <c r="Y19" s="659"/>
      <c r="Z19" s="659"/>
      <c r="AA19" s="659"/>
      <c r="AB19" s="659"/>
      <c r="AC19" s="659"/>
      <c r="AD19" s="659"/>
      <c r="AE19" s="659"/>
      <c r="AF19" s="659"/>
      <c r="AG19" s="659"/>
      <c r="AH19" s="659"/>
      <c r="AI19" s="723"/>
      <c r="AJ19" s="659"/>
      <c r="AK19" s="722"/>
    </row>
    <row r="20" spans="1:57" s="638" customFormat="1" ht="14.25" customHeight="1">
      <c r="B20" s="624"/>
      <c r="C20" s="618"/>
      <c r="D20" s="618"/>
      <c r="E20" s="618"/>
      <c r="F20" s="618"/>
      <c r="G20" s="618"/>
      <c r="H20" s="618"/>
      <c r="I20" s="618"/>
      <c r="J20" s="618"/>
      <c r="K20" s="618"/>
      <c r="L20" s="618"/>
      <c r="M20" s="618"/>
      <c r="N20" s="618"/>
      <c r="O20" s="659"/>
      <c r="P20" s="659"/>
      <c r="Q20" s="659"/>
      <c r="R20" s="618"/>
      <c r="S20" s="618"/>
      <c r="T20" s="660"/>
      <c r="U20" s="659"/>
      <c r="V20" s="659"/>
      <c r="W20" s="723"/>
      <c r="X20" s="659"/>
      <c r="Y20" s="659"/>
      <c r="Z20" s="659"/>
      <c r="AA20" s="659"/>
      <c r="AB20" s="659"/>
      <c r="AC20" s="659"/>
      <c r="AD20" s="659"/>
      <c r="AE20" s="659"/>
      <c r="AF20" s="659"/>
      <c r="AG20" s="659"/>
      <c r="AH20" s="659"/>
      <c r="AI20" s="723"/>
      <c r="AJ20" s="659"/>
      <c r="AK20" s="722"/>
    </row>
    <row r="21" spans="1:57" s="638" customFormat="1" ht="14.25" customHeight="1">
      <c r="B21" s="725" t="s">
        <v>1604</v>
      </c>
      <c r="C21" s="618"/>
      <c r="D21" s="668" t="s">
        <v>1603</v>
      </c>
      <c r="E21" s="618"/>
      <c r="F21" s="618"/>
      <c r="G21" s="618"/>
      <c r="H21" s="618"/>
      <c r="I21" s="618"/>
      <c r="J21" s="618"/>
      <c r="K21" s="618"/>
      <c r="L21" s="618"/>
      <c r="M21" s="618"/>
      <c r="N21" s="618"/>
      <c r="O21" s="659"/>
      <c r="P21" s="659"/>
      <c r="Q21" s="659"/>
      <c r="R21" s="724" t="s">
        <v>1694</v>
      </c>
      <c r="S21" s="724" t="s">
        <v>1693</v>
      </c>
      <c r="T21" s="724" t="s">
        <v>1695</v>
      </c>
      <c r="U21" s="724" t="s">
        <v>1696</v>
      </c>
      <c r="V21" s="765"/>
      <c r="W21" s="723"/>
      <c r="X21" s="659"/>
      <c r="Y21" s="659"/>
      <c r="Z21" s="659"/>
      <c r="AA21" s="659"/>
      <c r="AB21" s="659"/>
      <c r="AC21" s="659"/>
      <c r="AD21" s="659"/>
      <c r="AE21" s="659"/>
      <c r="AF21" s="659"/>
      <c r="AG21" s="659"/>
      <c r="AH21" s="659"/>
      <c r="AI21" s="723"/>
      <c r="AJ21" s="659"/>
      <c r="AK21" s="722"/>
    </row>
    <row r="22" spans="1:57" s="638" customFormat="1" ht="14.25" customHeight="1">
      <c r="B22" s="721"/>
      <c r="C22" s="621"/>
      <c r="D22" s="621"/>
      <c r="E22" s="621"/>
      <c r="F22" s="621"/>
      <c r="G22" s="621"/>
      <c r="H22" s="621"/>
      <c r="I22" s="621"/>
      <c r="J22" s="621"/>
      <c r="K22" s="621"/>
      <c r="L22" s="621"/>
      <c r="M22" s="621"/>
      <c r="N22" s="621"/>
      <c r="O22" s="719"/>
      <c r="P22" s="719"/>
      <c r="Q22" s="719"/>
      <c r="R22" s="719"/>
      <c r="S22" s="719"/>
      <c r="T22" s="719"/>
      <c r="U22" s="719"/>
      <c r="V22" s="718"/>
      <c r="W22" s="720"/>
      <c r="X22" s="719"/>
      <c r="Y22" s="719"/>
      <c r="Z22" s="719"/>
      <c r="AA22" s="719"/>
      <c r="AB22" s="719"/>
      <c r="AC22" s="719"/>
      <c r="AD22" s="719"/>
      <c r="AE22" s="719"/>
      <c r="AF22" s="719"/>
      <c r="AG22" s="719"/>
      <c r="AH22" s="719"/>
      <c r="AI22" s="720"/>
      <c r="AJ22" s="719"/>
      <c r="AK22" s="718"/>
    </row>
    <row r="23" spans="1:57" s="638" customFormat="1" ht="14.25" customHeight="1">
      <c r="B23" s="766"/>
      <c r="C23" s="767"/>
      <c r="D23" s="767"/>
      <c r="E23" s="767"/>
      <c r="F23" s="767"/>
      <c r="G23" s="767"/>
      <c r="H23" s="767"/>
      <c r="I23" s="767"/>
      <c r="J23" s="767"/>
      <c r="K23" s="633"/>
      <c r="L23" s="633"/>
      <c r="M23" s="633"/>
      <c r="N23" s="633"/>
      <c r="O23" s="633"/>
      <c r="P23" s="633"/>
      <c r="Q23" s="633"/>
      <c r="R23" s="633"/>
      <c r="S23" s="633"/>
      <c r="T23" s="633"/>
      <c r="U23" s="633"/>
      <c r="V23" s="633"/>
      <c r="W23" s="633"/>
      <c r="X23" s="633"/>
      <c r="Y23" s="633"/>
      <c r="Z23" s="633"/>
      <c r="AA23" s="633"/>
      <c r="AB23" s="633"/>
      <c r="AC23" s="633"/>
      <c r="AD23" s="633"/>
      <c r="AE23" s="633"/>
      <c r="AF23" s="633"/>
      <c r="AG23" s="633"/>
      <c r="AH23" s="633"/>
      <c r="AI23" s="633"/>
      <c r="AJ23" s="633"/>
      <c r="AK23" s="763"/>
    </row>
    <row r="24" spans="1:57">
      <c r="B24" s="1324" t="s">
        <v>1602</v>
      </c>
      <c r="C24" s="1325"/>
      <c r="D24" s="1325"/>
      <c r="E24" s="1325"/>
      <c r="F24" s="1325"/>
      <c r="G24" s="1325"/>
      <c r="H24" s="1325"/>
      <c r="I24" s="1325"/>
      <c r="J24" s="1325"/>
      <c r="K24" s="1325"/>
      <c r="L24" s="1325"/>
      <c r="M24" s="1325"/>
      <c r="N24" s="1325"/>
      <c r="O24" s="1325"/>
      <c r="P24" s="1325"/>
      <c r="Q24" s="1325"/>
      <c r="R24" s="1325"/>
      <c r="S24" s="1325"/>
      <c r="T24" s="1325"/>
      <c r="U24" s="1325"/>
      <c r="V24" s="1325"/>
      <c r="W24" s="1325"/>
      <c r="X24" s="1325"/>
      <c r="Y24" s="1325"/>
      <c r="Z24" s="1325"/>
      <c r="AA24" s="1325"/>
      <c r="AB24" s="1325"/>
      <c r="AC24" s="1325"/>
      <c r="AD24" s="1325"/>
      <c r="AE24" s="1325"/>
      <c r="AF24" s="1325"/>
      <c r="AG24" s="1325"/>
      <c r="AH24" s="1325"/>
      <c r="AI24" s="1325"/>
      <c r="AJ24" s="1325"/>
      <c r="AK24" s="1326"/>
      <c r="AL24" s="717"/>
      <c r="AM24" s="717"/>
      <c r="AN24" s="717"/>
      <c r="AO24" s="717"/>
      <c r="AP24" s="717"/>
      <c r="AQ24" s="717"/>
      <c r="AR24" s="717"/>
      <c r="AS24" s="717"/>
      <c r="AT24" s="717"/>
      <c r="AU24" s="717"/>
      <c r="AV24" s="717"/>
      <c r="AW24" s="717"/>
      <c r="AX24" s="717"/>
    </row>
    <row r="25" spans="1:57" ht="15" customHeight="1">
      <c r="B25" s="624"/>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23"/>
    </row>
    <row r="26" spans="1:57" ht="14.25" customHeight="1">
      <c r="B26" s="1310" t="s">
        <v>1601</v>
      </c>
      <c r="C26" s="1311"/>
      <c r="D26" s="1311"/>
      <c r="E26" s="1311"/>
      <c r="F26" s="1311"/>
      <c r="G26" s="1311"/>
      <c r="H26" s="1311"/>
      <c r="I26" s="1311"/>
      <c r="J26" s="1311"/>
      <c r="K26" s="1311"/>
      <c r="L26" s="1311"/>
      <c r="M26" s="1311"/>
      <c r="N26" s="1311"/>
      <c r="O26" s="1311"/>
      <c r="P26" s="1312"/>
      <c r="Q26" s="1310" t="s">
        <v>1600</v>
      </c>
      <c r="R26" s="1311"/>
      <c r="S26" s="1311"/>
      <c r="T26" s="1311"/>
      <c r="U26" s="1311"/>
      <c r="V26" s="1311"/>
      <c r="W26" s="1311"/>
      <c r="X26" s="1312"/>
      <c r="Y26" s="1313" t="s">
        <v>1599</v>
      </c>
      <c r="Z26" s="1314"/>
      <c r="AA26" s="1314"/>
      <c r="AB26" s="1314"/>
      <c r="AC26" s="1314"/>
      <c r="AD26" s="1314"/>
      <c r="AE26" s="1314"/>
      <c r="AF26" s="1314"/>
      <c r="AG26" s="1315"/>
      <c r="AH26" s="1313" t="s">
        <v>1598</v>
      </c>
      <c r="AI26" s="1314"/>
      <c r="AJ26" s="1314"/>
      <c r="AK26" s="1315"/>
      <c r="AM26" s="696"/>
      <c r="AN26" s="696"/>
      <c r="AO26" s="696"/>
      <c r="AP26" s="696"/>
      <c r="AQ26" s="696"/>
      <c r="AR26" s="696"/>
      <c r="AS26" s="696"/>
      <c r="AT26" s="696"/>
      <c r="AU26" s="696"/>
      <c r="AV26" s="696"/>
      <c r="AW26" s="696"/>
      <c r="AX26" s="696"/>
      <c r="AY26" s="696"/>
      <c r="AZ26" s="696"/>
      <c r="BA26" s="696"/>
      <c r="BB26" s="696"/>
      <c r="BD26" s="696"/>
      <c r="BE26" s="696"/>
    </row>
    <row r="27" spans="1:57" ht="14.25" customHeight="1">
      <c r="B27" s="716"/>
      <c r="C27" s="715"/>
      <c r="D27" s="715"/>
      <c r="E27" s="715"/>
      <c r="F27" s="715"/>
      <c r="G27" s="715"/>
      <c r="H27" s="715"/>
      <c r="I27" s="715"/>
      <c r="J27" s="715"/>
      <c r="K27" s="715"/>
      <c r="L27" s="715"/>
      <c r="M27" s="715"/>
      <c r="N27" s="715"/>
      <c r="O27" s="715"/>
      <c r="P27" s="714"/>
      <c r="Q27" s="1301" t="s">
        <v>1597</v>
      </c>
      <c r="R27" s="1302"/>
      <c r="S27" s="1302"/>
      <c r="T27" s="1302"/>
      <c r="U27" s="1302"/>
      <c r="V27" s="1302"/>
      <c r="W27" s="1302"/>
      <c r="X27" s="1303"/>
      <c r="Y27" s="1304" t="s">
        <v>1596</v>
      </c>
      <c r="Z27" s="1305"/>
      <c r="AA27" s="1305"/>
      <c r="AB27" s="1305"/>
      <c r="AC27" s="1305"/>
      <c r="AD27" s="1305"/>
      <c r="AE27" s="1305"/>
      <c r="AF27" s="1305"/>
      <c r="AG27" s="1306"/>
      <c r="AH27" s="1304" t="s">
        <v>1595</v>
      </c>
      <c r="AI27" s="1305"/>
      <c r="AJ27" s="1305"/>
      <c r="AK27" s="1306"/>
      <c r="AM27" s="696"/>
      <c r="AN27" s="696"/>
      <c r="AO27" s="696"/>
      <c r="AP27" s="696"/>
      <c r="AQ27" s="696"/>
      <c r="AR27" s="696"/>
      <c r="AS27" s="696"/>
      <c r="AT27" s="696"/>
      <c r="AU27" s="696"/>
      <c r="AV27" s="696"/>
      <c r="AW27" s="696"/>
      <c r="AX27" s="696"/>
      <c r="AY27" s="696"/>
      <c r="AZ27" s="696"/>
      <c r="BA27" s="696"/>
      <c r="BB27" s="696"/>
      <c r="BD27" s="696"/>
      <c r="BE27" s="696"/>
    </row>
    <row r="28" spans="1:57" ht="14.25" customHeight="1">
      <c r="B28" s="712"/>
      <c r="C28" s="710"/>
      <c r="D28" s="710"/>
      <c r="E28" s="710"/>
      <c r="F28" s="710"/>
      <c r="G28" s="710"/>
      <c r="H28" s="710"/>
      <c r="I28" s="711"/>
      <c r="J28" s="710"/>
      <c r="K28" s="710"/>
      <c r="L28" s="710"/>
      <c r="M28" s="710"/>
      <c r="N28" s="710"/>
      <c r="O28" s="710"/>
      <c r="P28" s="709"/>
      <c r="Q28" s="712"/>
      <c r="R28" s="710"/>
      <c r="S28" s="710"/>
      <c r="T28" s="711"/>
      <c r="U28" s="710"/>
      <c r="V28" s="710"/>
      <c r="W28" s="710"/>
      <c r="X28" s="709"/>
      <c r="Y28" s="622"/>
      <c r="Z28" s="621"/>
      <c r="AA28" s="621"/>
      <c r="AB28" s="621"/>
      <c r="AC28" s="708"/>
      <c r="AD28" s="621"/>
      <c r="AE28" s="707"/>
      <c r="AF28" s="621"/>
      <c r="AG28" s="620"/>
      <c r="AH28" s="1307" t="s">
        <v>1594</v>
      </c>
      <c r="AI28" s="1308"/>
      <c r="AJ28" s="1308"/>
      <c r="AK28" s="1309"/>
      <c r="AM28" s="696"/>
      <c r="AN28" s="696"/>
      <c r="AO28" s="696"/>
      <c r="AP28" s="696"/>
      <c r="AQ28" s="696"/>
      <c r="AR28" s="696"/>
      <c r="AS28" s="696"/>
      <c r="AT28" s="696"/>
      <c r="AU28" s="696"/>
      <c r="AV28" s="696"/>
      <c r="AW28" s="696"/>
      <c r="AX28" s="696"/>
      <c r="AY28" s="696"/>
      <c r="AZ28" s="696"/>
      <c r="BA28" s="696"/>
      <c r="BB28" s="696"/>
      <c r="BD28" s="696"/>
      <c r="BE28" s="696"/>
    </row>
    <row r="29" spans="1:57" ht="8.1" customHeight="1">
      <c r="A29" s="695"/>
      <c r="B29" s="627"/>
      <c r="C29" s="626"/>
      <c r="D29" s="626"/>
      <c r="E29" s="626"/>
      <c r="F29" s="626"/>
      <c r="G29" s="626"/>
      <c r="H29" s="626"/>
      <c r="I29" s="626"/>
      <c r="J29" s="626"/>
      <c r="K29" s="626"/>
      <c r="L29" s="626"/>
      <c r="M29" s="626"/>
      <c r="N29" s="626"/>
      <c r="O29" s="626"/>
      <c r="P29" s="626"/>
      <c r="Q29" s="627"/>
      <c r="R29" s="626"/>
      <c r="S29" s="626"/>
      <c r="T29" s="626"/>
      <c r="U29" s="626"/>
      <c r="V29" s="626"/>
      <c r="W29" s="626"/>
      <c r="X29" s="625"/>
      <c r="Y29" s="618"/>
      <c r="Z29" s="618"/>
      <c r="AA29" s="618"/>
      <c r="AB29" s="618"/>
      <c r="AC29" s="618"/>
      <c r="AD29" s="618"/>
      <c r="AE29" s="618"/>
      <c r="AF29" s="618"/>
      <c r="AG29" s="623"/>
      <c r="AH29" s="624"/>
      <c r="AI29" s="618"/>
      <c r="AJ29" s="618"/>
      <c r="AK29" s="623"/>
      <c r="AM29" s="696"/>
      <c r="AN29" s="696"/>
      <c r="AO29" s="696"/>
      <c r="AP29" s="696"/>
      <c r="AQ29" s="696"/>
      <c r="AR29" s="696"/>
      <c r="AS29" s="696"/>
      <c r="AT29" s="696"/>
      <c r="AU29" s="696"/>
      <c r="AV29" s="696"/>
      <c r="AW29" s="696"/>
      <c r="AX29" s="696"/>
      <c r="AY29" s="696"/>
      <c r="AZ29" s="696"/>
      <c r="BA29" s="696"/>
      <c r="BB29" s="696"/>
      <c r="BD29" s="696"/>
      <c r="BE29" s="696"/>
    </row>
    <row r="30" spans="1:57">
      <c r="A30" s="698"/>
      <c r="B30" s="1292"/>
      <c r="C30" s="1293"/>
      <c r="D30" s="1293"/>
      <c r="E30" s="1293"/>
      <c r="F30" s="1293"/>
      <c r="G30" s="1293"/>
      <c r="H30" s="1293"/>
      <c r="I30" s="1293"/>
      <c r="J30" s="1293"/>
      <c r="K30" s="1293"/>
      <c r="L30" s="1293"/>
      <c r="M30" s="1293"/>
      <c r="N30" s="1293"/>
      <c r="O30" s="1293"/>
      <c r="P30" s="1294"/>
      <c r="Q30" s="701"/>
      <c r="R30" s="706"/>
      <c r="S30" s="706"/>
      <c r="T30" s="706"/>
      <c r="U30" s="706"/>
      <c r="V30" s="706"/>
      <c r="W30" s="705"/>
      <c r="X30" s="700"/>
      <c r="Y30" s="1295">
        <v>983417641</v>
      </c>
      <c r="Z30" s="1296"/>
      <c r="AA30" s="1296"/>
      <c r="AB30" s="1296"/>
      <c r="AC30" s="1296"/>
      <c r="AD30" s="1296"/>
      <c r="AE30" s="1296"/>
      <c r="AF30" s="1296"/>
      <c r="AG30" s="1297"/>
      <c r="AH30" s="1298">
        <v>1</v>
      </c>
      <c r="AI30" s="1299"/>
      <c r="AJ30" s="1299"/>
      <c r="AK30" s="1300"/>
      <c r="AM30" s="696"/>
      <c r="AN30" s="696"/>
      <c r="AO30" s="696"/>
      <c r="AP30" s="696"/>
      <c r="AQ30" s="696"/>
      <c r="AR30" s="696"/>
      <c r="AS30" s="696"/>
      <c r="AT30" s="696"/>
      <c r="AU30" s="696"/>
      <c r="AV30" s="696"/>
      <c r="AW30" s="696"/>
      <c r="AX30" s="696"/>
      <c r="AY30" s="696"/>
      <c r="AZ30" s="696"/>
      <c r="BA30" s="696"/>
      <c r="BB30" s="696"/>
      <c r="BD30" s="696"/>
      <c r="BE30" s="696"/>
    </row>
    <row r="31" spans="1:57" ht="8.1" customHeight="1">
      <c r="A31" s="698"/>
      <c r="B31" s="704"/>
      <c r="C31" s="703"/>
      <c r="D31" s="703"/>
      <c r="E31" s="703"/>
      <c r="F31" s="703"/>
      <c r="G31" s="703"/>
      <c r="H31" s="703"/>
      <c r="I31" s="703"/>
      <c r="J31" s="703"/>
      <c r="K31" s="703"/>
      <c r="L31" s="703"/>
      <c r="M31" s="703"/>
      <c r="N31" s="703"/>
      <c r="O31" s="703"/>
      <c r="P31" s="703"/>
      <c r="Q31" s="704"/>
      <c r="R31" s="703"/>
      <c r="S31" s="703"/>
      <c r="T31" s="703"/>
      <c r="U31" s="703"/>
      <c r="V31" s="703"/>
      <c r="W31" s="703"/>
      <c r="X31" s="702"/>
      <c r="Y31" s="703"/>
      <c r="Z31" s="703"/>
      <c r="AA31" s="703"/>
      <c r="AB31" s="703"/>
      <c r="AC31" s="703"/>
      <c r="AD31" s="703"/>
      <c r="AE31" s="703"/>
      <c r="AF31" s="703"/>
      <c r="AG31" s="702"/>
      <c r="AH31" s="704"/>
      <c r="AI31" s="703"/>
      <c r="AJ31" s="703"/>
      <c r="AK31" s="702"/>
      <c r="AM31" s="696"/>
      <c r="AN31" s="696"/>
      <c r="AO31" s="696"/>
      <c r="AP31" s="696"/>
      <c r="AQ31" s="696"/>
      <c r="AR31" s="696"/>
      <c r="AS31" s="696"/>
      <c r="AT31" s="696"/>
      <c r="AU31" s="696"/>
      <c r="AV31" s="696"/>
      <c r="AW31" s="696"/>
      <c r="AX31" s="696"/>
      <c r="AY31" s="696"/>
      <c r="AZ31" s="696"/>
      <c r="BA31" s="696"/>
      <c r="BB31" s="696"/>
      <c r="BD31" s="696"/>
      <c r="BE31" s="696"/>
    </row>
    <row r="32" spans="1:57" ht="8.1" customHeight="1">
      <c r="A32" s="698"/>
      <c r="B32" s="701"/>
      <c r="C32" s="651"/>
      <c r="D32" s="651"/>
      <c r="E32" s="651"/>
      <c r="F32" s="651"/>
      <c r="G32" s="651"/>
      <c r="H32" s="651"/>
      <c r="I32" s="651"/>
      <c r="J32" s="651"/>
      <c r="K32" s="651"/>
      <c r="L32" s="651"/>
      <c r="M32" s="651"/>
      <c r="N32" s="651"/>
      <c r="O32" s="651"/>
      <c r="P32" s="651"/>
      <c r="Q32" s="701"/>
      <c r="R32" s="651"/>
      <c r="S32" s="651"/>
      <c r="T32" s="651"/>
      <c r="U32" s="651"/>
      <c r="V32" s="651"/>
      <c r="W32" s="651"/>
      <c r="X32" s="700"/>
      <c r="Y32" s="651"/>
      <c r="Z32" s="651"/>
      <c r="AA32" s="651"/>
      <c r="AB32" s="651"/>
      <c r="AC32" s="651"/>
      <c r="AD32" s="651"/>
      <c r="AE32" s="651"/>
      <c r="AF32" s="651"/>
      <c r="AG32" s="700"/>
      <c r="AH32" s="701"/>
      <c r="AI32" s="651"/>
      <c r="AJ32" s="651"/>
      <c r="AK32" s="700"/>
      <c r="AM32" s="696"/>
      <c r="AN32" s="696"/>
      <c r="AO32" s="696"/>
      <c r="AP32" s="696"/>
      <c r="AQ32" s="696"/>
      <c r="AR32" s="696"/>
      <c r="AS32" s="696"/>
      <c r="AT32" s="696"/>
      <c r="AU32" s="696"/>
      <c r="AV32" s="696"/>
      <c r="AW32" s="696"/>
      <c r="AX32" s="696"/>
      <c r="AY32" s="696"/>
      <c r="AZ32" s="696"/>
      <c r="BA32" s="696"/>
      <c r="BB32" s="696"/>
      <c r="BD32" s="696"/>
      <c r="BE32" s="696"/>
    </row>
    <row r="33" spans="1:57" ht="8.1" customHeight="1">
      <c r="A33" s="698"/>
      <c r="B33" s="701"/>
      <c r="C33" s="651"/>
      <c r="D33" s="651"/>
      <c r="E33" s="651"/>
      <c r="F33" s="651"/>
      <c r="G33" s="651"/>
      <c r="H33" s="651"/>
      <c r="I33" s="651"/>
      <c r="J33" s="651"/>
      <c r="K33" s="651"/>
      <c r="L33" s="651"/>
      <c r="M33" s="651"/>
      <c r="N33" s="651"/>
      <c r="O33" s="651"/>
      <c r="P33" s="651"/>
      <c r="Q33" s="701"/>
      <c r="R33" s="651"/>
      <c r="S33" s="651"/>
      <c r="T33" s="651"/>
      <c r="U33" s="651"/>
      <c r="V33" s="651"/>
      <c r="W33" s="651"/>
      <c r="X33" s="700"/>
      <c r="Y33" s="651"/>
      <c r="Z33" s="651"/>
      <c r="AA33" s="651"/>
      <c r="AB33" s="651"/>
      <c r="AC33" s="651"/>
      <c r="AD33" s="651"/>
      <c r="AE33" s="651"/>
      <c r="AF33" s="651"/>
      <c r="AG33" s="700"/>
      <c r="AH33" s="701"/>
      <c r="AI33" s="651"/>
      <c r="AJ33" s="651"/>
      <c r="AK33" s="700"/>
      <c r="AM33" s="696"/>
      <c r="AN33" s="696"/>
      <c r="AO33" s="696"/>
      <c r="AP33" s="696"/>
      <c r="AQ33" s="696"/>
      <c r="AR33" s="696"/>
      <c r="AS33" s="696"/>
      <c r="AT33" s="696"/>
      <c r="AU33" s="696"/>
      <c r="AV33" s="696"/>
      <c r="AW33" s="696"/>
      <c r="AX33" s="696"/>
      <c r="AY33" s="696"/>
      <c r="AZ33" s="696"/>
      <c r="BA33" s="696"/>
      <c r="BB33" s="696"/>
      <c r="BD33" s="696"/>
      <c r="BE33" s="696"/>
    </row>
    <row r="34" spans="1:57" ht="15" customHeight="1">
      <c r="A34" s="698"/>
      <c r="B34" s="1286"/>
      <c r="C34" s="1287"/>
      <c r="D34" s="1287"/>
      <c r="E34" s="1287"/>
      <c r="F34" s="1287"/>
      <c r="G34" s="1287"/>
      <c r="H34" s="1287"/>
      <c r="I34" s="1287"/>
      <c r="J34" s="1287"/>
      <c r="K34" s="1287"/>
      <c r="L34" s="1287"/>
      <c r="M34" s="1287"/>
      <c r="N34" s="1287"/>
      <c r="O34" s="1287"/>
      <c r="P34" s="1288"/>
      <c r="Q34" s="701"/>
      <c r="R34" s="650"/>
      <c r="S34" s="650"/>
      <c r="T34" s="650"/>
      <c r="U34" s="650"/>
      <c r="V34" s="650"/>
      <c r="W34" s="650"/>
      <c r="X34" s="700"/>
      <c r="Y34" s="1289"/>
      <c r="Z34" s="1290"/>
      <c r="AA34" s="1290"/>
      <c r="AB34" s="1290"/>
      <c r="AC34" s="1290"/>
      <c r="AD34" s="1290"/>
      <c r="AE34" s="1290"/>
      <c r="AF34" s="1290"/>
      <c r="AG34" s="1291"/>
      <c r="AH34" s="1289"/>
      <c r="AI34" s="1290"/>
      <c r="AJ34" s="1290"/>
      <c r="AK34" s="1291"/>
      <c r="AM34" s="696"/>
      <c r="AN34" s="696"/>
      <c r="AO34" s="696"/>
      <c r="AP34" s="696"/>
      <c r="AQ34" s="696"/>
      <c r="AR34" s="696"/>
      <c r="AS34" s="696"/>
      <c r="AT34" s="696"/>
      <c r="AU34" s="696"/>
      <c r="AV34" s="696"/>
      <c r="AW34" s="696"/>
      <c r="AX34" s="696"/>
      <c r="AY34" s="696"/>
      <c r="AZ34" s="696"/>
      <c r="BA34" s="696"/>
      <c r="BB34" s="696"/>
      <c r="BD34" s="696"/>
      <c r="BE34" s="696"/>
    </row>
    <row r="35" spans="1:57" ht="8.1" customHeight="1">
      <c r="A35" s="698"/>
      <c r="B35" s="704"/>
      <c r="C35" s="703"/>
      <c r="D35" s="703"/>
      <c r="E35" s="703"/>
      <c r="F35" s="703"/>
      <c r="G35" s="703"/>
      <c r="H35" s="703"/>
      <c r="I35" s="703"/>
      <c r="J35" s="703"/>
      <c r="K35" s="703"/>
      <c r="L35" s="703"/>
      <c r="M35" s="703"/>
      <c r="N35" s="703"/>
      <c r="O35" s="703"/>
      <c r="P35" s="703"/>
      <c r="Q35" s="704"/>
      <c r="R35" s="703"/>
      <c r="S35" s="703"/>
      <c r="T35" s="703"/>
      <c r="U35" s="703"/>
      <c r="V35" s="703"/>
      <c r="W35" s="703"/>
      <c r="X35" s="702"/>
      <c r="Y35" s="703"/>
      <c r="Z35" s="703"/>
      <c r="AA35" s="703"/>
      <c r="AB35" s="703"/>
      <c r="AC35" s="703"/>
      <c r="AD35" s="703"/>
      <c r="AE35" s="703"/>
      <c r="AF35" s="703"/>
      <c r="AG35" s="702"/>
      <c r="AH35" s="704"/>
      <c r="AI35" s="703"/>
      <c r="AJ35" s="703"/>
      <c r="AK35" s="702"/>
      <c r="AM35" s="696"/>
      <c r="AN35" s="696"/>
      <c r="AO35" s="696"/>
      <c r="AP35" s="696"/>
      <c r="AQ35" s="696"/>
      <c r="AR35" s="696"/>
      <c r="AS35" s="696"/>
      <c r="AT35" s="696"/>
      <c r="AU35" s="696"/>
      <c r="AV35" s="696"/>
      <c r="AW35" s="696"/>
      <c r="AX35" s="696"/>
      <c r="AY35" s="696"/>
      <c r="AZ35" s="696"/>
      <c r="BA35" s="696"/>
      <c r="BB35" s="696"/>
      <c r="BD35" s="696"/>
      <c r="BE35" s="696"/>
    </row>
    <row r="36" spans="1:57" ht="8.1" customHeight="1">
      <c r="A36" s="698"/>
      <c r="B36" s="701"/>
      <c r="C36" s="651"/>
      <c r="D36" s="651"/>
      <c r="E36" s="651"/>
      <c r="F36" s="651"/>
      <c r="G36" s="651"/>
      <c r="H36" s="651"/>
      <c r="I36" s="651"/>
      <c r="J36" s="651"/>
      <c r="K36" s="651"/>
      <c r="L36" s="651"/>
      <c r="M36" s="651"/>
      <c r="N36" s="651"/>
      <c r="O36" s="651"/>
      <c r="P36" s="651"/>
      <c r="Q36" s="701"/>
      <c r="R36" s="651"/>
      <c r="S36" s="651"/>
      <c r="T36" s="651"/>
      <c r="U36" s="651"/>
      <c r="V36" s="651"/>
      <c r="W36" s="651"/>
      <c r="X36" s="700"/>
      <c r="Y36" s="651"/>
      <c r="Z36" s="651"/>
      <c r="AA36" s="651"/>
      <c r="AB36" s="651"/>
      <c r="AC36" s="651"/>
      <c r="AD36" s="651"/>
      <c r="AE36" s="651"/>
      <c r="AF36" s="651"/>
      <c r="AG36" s="700"/>
      <c r="AH36" s="701"/>
      <c r="AI36" s="651"/>
      <c r="AJ36" s="651"/>
      <c r="AK36" s="700"/>
      <c r="AM36" s="696"/>
      <c r="AN36" s="696"/>
      <c r="AO36" s="696"/>
      <c r="AP36" s="696"/>
      <c r="AQ36" s="696"/>
      <c r="AR36" s="696"/>
      <c r="AS36" s="696"/>
      <c r="AT36" s="696"/>
      <c r="AU36" s="696"/>
      <c r="AV36" s="696"/>
      <c r="AW36" s="696"/>
      <c r="AX36" s="696"/>
      <c r="AY36" s="696"/>
      <c r="AZ36" s="696"/>
      <c r="BA36" s="696"/>
      <c r="BB36" s="696"/>
      <c r="BD36" s="696"/>
      <c r="BE36" s="696"/>
    </row>
    <row r="37" spans="1:57" ht="15" customHeight="1">
      <c r="A37" s="698"/>
      <c r="B37" s="1286"/>
      <c r="C37" s="1287"/>
      <c r="D37" s="1287"/>
      <c r="E37" s="1287"/>
      <c r="F37" s="1287"/>
      <c r="G37" s="1287"/>
      <c r="H37" s="1287"/>
      <c r="I37" s="1287"/>
      <c r="J37" s="1287"/>
      <c r="K37" s="1287"/>
      <c r="L37" s="1287"/>
      <c r="M37" s="1287"/>
      <c r="N37" s="1287"/>
      <c r="O37" s="1287"/>
      <c r="P37" s="1288"/>
      <c r="Q37" s="701"/>
      <c r="R37" s="650"/>
      <c r="S37" s="650"/>
      <c r="T37" s="650"/>
      <c r="U37" s="650"/>
      <c r="V37" s="650"/>
      <c r="W37" s="650"/>
      <c r="X37" s="700"/>
      <c r="Y37" s="1289"/>
      <c r="Z37" s="1290"/>
      <c r="AA37" s="1290"/>
      <c r="AB37" s="1290"/>
      <c r="AC37" s="1290"/>
      <c r="AD37" s="1290"/>
      <c r="AE37" s="1290"/>
      <c r="AF37" s="1290"/>
      <c r="AG37" s="1291"/>
      <c r="AH37" s="1289"/>
      <c r="AI37" s="1290"/>
      <c r="AJ37" s="1290"/>
      <c r="AK37" s="1291"/>
      <c r="AM37" s="696"/>
      <c r="AN37" s="696"/>
      <c r="AO37" s="696"/>
      <c r="AP37" s="696"/>
      <c r="AQ37" s="696"/>
      <c r="AR37" s="696"/>
      <c r="AS37" s="696"/>
      <c r="AT37" s="696"/>
      <c r="AU37" s="696"/>
      <c r="AV37" s="696"/>
      <c r="AW37" s="696"/>
      <c r="AX37" s="696"/>
      <c r="AY37" s="696"/>
      <c r="AZ37" s="696"/>
      <c r="BA37" s="696"/>
      <c r="BB37" s="696"/>
      <c r="BD37" s="696"/>
      <c r="BE37" s="696"/>
    </row>
    <row r="38" spans="1:57" ht="9.9499999999999993" customHeight="1">
      <c r="A38" s="698"/>
      <c r="B38" s="704"/>
      <c r="C38" s="703"/>
      <c r="D38" s="703"/>
      <c r="E38" s="703"/>
      <c r="F38" s="703"/>
      <c r="G38" s="703"/>
      <c r="H38" s="703"/>
      <c r="I38" s="703"/>
      <c r="J38" s="703"/>
      <c r="K38" s="703"/>
      <c r="L38" s="703"/>
      <c r="M38" s="703"/>
      <c r="N38" s="703"/>
      <c r="O38" s="703"/>
      <c r="P38" s="703"/>
      <c r="Q38" s="704"/>
      <c r="R38" s="703"/>
      <c r="S38" s="703"/>
      <c r="T38" s="703"/>
      <c r="U38" s="703"/>
      <c r="V38" s="703"/>
      <c r="W38" s="703"/>
      <c r="X38" s="702"/>
      <c r="Y38" s="703"/>
      <c r="Z38" s="703"/>
      <c r="AA38" s="703"/>
      <c r="AB38" s="703"/>
      <c r="AC38" s="703"/>
      <c r="AD38" s="703"/>
      <c r="AE38" s="703"/>
      <c r="AF38" s="703"/>
      <c r="AG38" s="702"/>
      <c r="AH38" s="704"/>
      <c r="AI38" s="703"/>
      <c r="AJ38" s="703"/>
      <c r="AK38" s="702"/>
      <c r="AM38" s="696"/>
      <c r="AN38" s="696"/>
      <c r="AO38" s="696"/>
      <c r="AP38" s="696"/>
      <c r="AQ38" s="696"/>
      <c r="AR38" s="696"/>
      <c r="AS38" s="696"/>
      <c r="AT38" s="696"/>
      <c r="AU38" s="696"/>
      <c r="AV38" s="696"/>
      <c r="AW38" s="696"/>
      <c r="AX38" s="696"/>
      <c r="AY38" s="696"/>
      <c r="AZ38" s="696"/>
      <c r="BA38" s="696"/>
      <c r="BB38" s="696"/>
      <c r="BD38" s="696"/>
      <c r="BE38" s="696"/>
    </row>
    <row r="39" spans="1:57" ht="8.1" customHeight="1">
      <c r="A39" s="698"/>
      <c r="B39" s="701"/>
      <c r="C39" s="651"/>
      <c r="D39" s="651"/>
      <c r="E39" s="651"/>
      <c r="F39" s="651"/>
      <c r="G39" s="651"/>
      <c r="H39" s="651"/>
      <c r="I39" s="651"/>
      <c r="J39" s="651"/>
      <c r="K39" s="651"/>
      <c r="L39" s="651"/>
      <c r="M39" s="651"/>
      <c r="N39" s="651"/>
      <c r="O39" s="651"/>
      <c r="P39" s="651"/>
      <c r="Q39" s="701"/>
      <c r="R39" s="651"/>
      <c r="S39" s="651"/>
      <c r="T39" s="651"/>
      <c r="U39" s="651"/>
      <c r="V39" s="651"/>
      <c r="W39" s="651"/>
      <c r="X39" s="700"/>
      <c r="Y39" s="651"/>
      <c r="Z39" s="651"/>
      <c r="AA39" s="651"/>
      <c r="AB39" s="651"/>
      <c r="AC39" s="651"/>
      <c r="AD39" s="651"/>
      <c r="AE39" s="651"/>
      <c r="AF39" s="651"/>
      <c r="AG39" s="700"/>
      <c r="AH39" s="701"/>
      <c r="AI39" s="651"/>
      <c r="AJ39" s="651"/>
      <c r="AK39" s="700"/>
      <c r="AM39" s="696"/>
      <c r="AN39" s="696"/>
      <c r="AO39" s="696"/>
      <c r="AP39" s="696"/>
      <c r="AQ39" s="696"/>
      <c r="AR39" s="696"/>
      <c r="AS39" s="696"/>
      <c r="AT39" s="696"/>
      <c r="AU39" s="696"/>
      <c r="AV39" s="696"/>
      <c r="AW39" s="696"/>
      <c r="AX39" s="696"/>
      <c r="AY39" s="696"/>
      <c r="AZ39" s="696"/>
      <c r="BA39" s="696"/>
      <c r="BB39" s="696"/>
      <c r="BD39" s="696"/>
      <c r="BE39" s="696"/>
    </row>
    <row r="40" spans="1:57" ht="15" customHeight="1">
      <c r="A40" s="698"/>
      <c r="B40" s="699" t="s">
        <v>1593</v>
      </c>
      <c r="C40" s="618"/>
      <c r="D40" s="618"/>
      <c r="E40" s="618"/>
      <c r="F40" s="618"/>
      <c r="G40" s="618"/>
      <c r="H40" s="618"/>
      <c r="I40" s="618"/>
      <c r="J40" s="618"/>
      <c r="K40" s="618"/>
      <c r="L40" s="618"/>
      <c r="M40" s="618"/>
      <c r="N40" s="618"/>
      <c r="O40" s="618"/>
      <c r="P40" s="618"/>
      <c r="Q40" s="1261"/>
      <c r="R40" s="1262"/>
      <c r="S40" s="1262"/>
      <c r="T40" s="1262"/>
      <c r="U40" s="1262"/>
      <c r="V40" s="1262"/>
      <c r="W40" s="1262"/>
      <c r="X40" s="1263"/>
      <c r="Y40" s="1267"/>
      <c r="Z40" s="1268"/>
      <c r="AA40" s="1268"/>
      <c r="AB40" s="1268"/>
      <c r="AC40" s="1268"/>
      <c r="AD40" s="1268"/>
      <c r="AE40" s="1268"/>
      <c r="AF40" s="1268"/>
      <c r="AG40" s="1269"/>
      <c r="AH40" s="1267"/>
      <c r="AI40" s="1268"/>
      <c r="AJ40" s="1268"/>
      <c r="AK40" s="1269"/>
      <c r="AL40" s="696"/>
      <c r="AM40" s="696"/>
      <c r="AN40" s="696"/>
      <c r="AO40" s="696"/>
      <c r="AP40" s="696"/>
      <c r="AQ40" s="696"/>
      <c r="AR40" s="696"/>
      <c r="AS40" s="696"/>
      <c r="AT40" s="696"/>
      <c r="AU40" s="696"/>
      <c r="AV40" s="696"/>
      <c r="AW40" s="696"/>
      <c r="BA40" s="618"/>
      <c r="BB40" s="696"/>
    </row>
    <row r="41" spans="1:57" ht="6" customHeight="1">
      <c r="A41" s="698"/>
      <c r="B41" s="622"/>
      <c r="C41" s="621"/>
      <c r="D41" s="621"/>
      <c r="E41" s="621"/>
      <c r="F41" s="621"/>
      <c r="G41" s="621"/>
      <c r="H41" s="621"/>
      <c r="I41" s="621"/>
      <c r="J41" s="621"/>
      <c r="K41" s="621"/>
      <c r="L41" s="621"/>
      <c r="M41" s="621"/>
      <c r="N41" s="621"/>
      <c r="O41" s="621"/>
      <c r="P41" s="621"/>
      <c r="Q41" s="1264"/>
      <c r="R41" s="1265"/>
      <c r="S41" s="1265"/>
      <c r="T41" s="1265"/>
      <c r="U41" s="1265"/>
      <c r="V41" s="1265"/>
      <c r="W41" s="1265"/>
      <c r="X41" s="1266"/>
      <c r="Y41" s="621"/>
      <c r="Z41" s="621"/>
      <c r="AA41" s="621"/>
      <c r="AB41" s="621"/>
      <c r="AC41" s="621"/>
      <c r="AD41" s="621"/>
      <c r="AE41" s="621"/>
      <c r="AF41" s="621"/>
      <c r="AG41" s="620"/>
      <c r="AH41" s="622"/>
      <c r="AI41" s="621"/>
      <c r="AJ41" s="621"/>
      <c r="AK41" s="620"/>
      <c r="AL41" s="696"/>
      <c r="AM41" s="696"/>
      <c r="AN41" s="696"/>
      <c r="AO41" s="696"/>
      <c r="AP41" s="696"/>
      <c r="AQ41" s="696"/>
      <c r="AR41" s="696"/>
      <c r="AS41" s="696"/>
      <c r="AT41" s="696"/>
      <c r="AU41" s="696"/>
      <c r="AV41" s="696"/>
      <c r="AW41" s="696"/>
      <c r="BA41" s="618"/>
      <c r="BB41" s="696"/>
    </row>
    <row r="42" spans="1:57" ht="15" customHeight="1">
      <c r="A42" s="698"/>
      <c r="B42" s="624"/>
      <c r="C42" s="618"/>
      <c r="D42" s="618"/>
      <c r="E42" s="618"/>
      <c r="F42" s="618"/>
      <c r="G42" s="618"/>
      <c r="H42" s="618"/>
      <c r="I42" s="618"/>
      <c r="J42" s="618"/>
      <c r="K42" s="618"/>
      <c r="L42" s="618"/>
      <c r="M42" s="618"/>
      <c r="N42" s="618"/>
      <c r="O42" s="618"/>
      <c r="P42" s="618"/>
      <c r="Q42" s="1270" t="s">
        <v>1592</v>
      </c>
      <c r="R42" s="1270"/>
      <c r="S42" s="1270"/>
      <c r="T42" s="1270"/>
      <c r="U42" s="1270"/>
      <c r="V42" s="1270"/>
      <c r="W42" s="1270"/>
      <c r="X42" s="1271"/>
      <c r="Y42" s="1274">
        <f>SUM(Y30:Y40)</f>
        <v>983417641</v>
      </c>
      <c r="Z42" s="1275"/>
      <c r="AA42" s="1275"/>
      <c r="AB42" s="1275"/>
      <c r="AC42" s="1275"/>
      <c r="AD42" s="1275"/>
      <c r="AE42" s="1275"/>
      <c r="AF42" s="1275"/>
      <c r="AG42" s="1276"/>
      <c r="AH42" s="1280">
        <v>100</v>
      </c>
      <c r="AI42" s="1281"/>
      <c r="AJ42" s="1281"/>
      <c r="AK42" s="1282"/>
      <c r="AL42" s="696"/>
      <c r="AM42" s="696"/>
      <c r="AN42" s="696"/>
      <c r="AO42" s="696"/>
      <c r="AP42" s="696"/>
      <c r="AQ42" s="696"/>
      <c r="AR42" s="696"/>
      <c r="AS42" s="696"/>
      <c r="AT42" s="696"/>
      <c r="AU42" s="696"/>
      <c r="AV42" s="696"/>
      <c r="AW42" s="696"/>
      <c r="BA42" s="618"/>
      <c r="BB42" s="696"/>
    </row>
    <row r="43" spans="1:57" ht="6" customHeight="1">
      <c r="A43" s="697"/>
      <c r="B43" s="622"/>
      <c r="C43" s="621"/>
      <c r="D43" s="621"/>
      <c r="E43" s="621"/>
      <c r="F43" s="621"/>
      <c r="G43" s="621"/>
      <c r="H43" s="621"/>
      <c r="I43" s="621"/>
      <c r="J43" s="621"/>
      <c r="K43" s="621"/>
      <c r="L43" s="621"/>
      <c r="M43" s="621"/>
      <c r="N43" s="621"/>
      <c r="O43" s="621"/>
      <c r="P43" s="621"/>
      <c r="Q43" s="1272"/>
      <c r="R43" s="1272"/>
      <c r="S43" s="1272"/>
      <c r="T43" s="1272"/>
      <c r="U43" s="1272"/>
      <c r="V43" s="1272"/>
      <c r="W43" s="1272"/>
      <c r="X43" s="1273"/>
      <c r="Y43" s="1277"/>
      <c r="Z43" s="1278"/>
      <c r="AA43" s="1278"/>
      <c r="AB43" s="1278"/>
      <c r="AC43" s="1278"/>
      <c r="AD43" s="1278"/>
      <c r="AE43" s="1278"/>
      <c r="AF43" s="1278"/>
      <c r="AG43" s="1279"/>
      <c r="AH43" s="1283"/>
      <c r="AI43" s="1284"/>
      <c r="AJ43" s="1284"/>
      <c r="AK43" s="1285"/>
      <c r="AL43" s="696"/>
      <c r="AM43" s="696"/>
      <c r="AN43" s="696"/>
      <c r="AO43" s="696"/>
      <c r="AP43" s="696"/>
      <c r="AQ43" s="696"/>
      <c r="AR43" s="696"/>
      <c r="AS43" s="696"/>
      <c r="AT43" s="696"/>
      <c r="AU43" s="696"/>
      <c r="AV43" s="696"/>
      <c r="AW43" s="696"/>
      <c r="AX43" s="618"/>
      <c r="AY43" s="618"/>
      <c r="AZ43" s="618"/>
      <c r="BA43" s="618"/>
      <c r="BB43" s="659"/>
    </row>
    <row r="44" spans="1:57" ht="9.9499999999999993" customHeight="1">
      <c r="B44" s="622"/>
      <c r="C44" s="621"/>
      <c r="D44" s="621"/>
      <c r="E44" s="621"/>
      <c r="F44" s="621"/>
      <c r="G44" s="621"/>
      <c r="H44" s="621"/>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90"/>
      <c r="AH44" s="690"/>
      <c r="AI44" s="690"/>
      <c r="AJ44" s="690"/>
      <c r="AK44" s="691"/>
      <c r="AL44" s="690"/>
      <c r="AM44" s="690"/>
      <c r="AN44" s="690"/>
      <c r="AO44" s="690"/>
      <c r="AP44" s="690"/>
      <c r="AQ44" s="690"/>
      <c r="AR44" s="690"/>
      <c r="AS44" s="690"/>
      <c r="AT44" s="690"/>
      <c r="AU44" s="690"/>
      <c r="AV44" s="690"/>
      <c r="AW44" s="690"/>
      <c r="AX44" s="690"/>
      <c r="AY44" s="690"/>
      <c r="AZ44" s="690"/>
      <c r="BA44" s="690"/>
      <c r="BB44" s="690"/>
    </row>
    <row r="45" spans="1:57">
      <c r="B45" s="692" t="s">
        <v>1591</v>
      </c>
      <c r="C45" s="618"/>
      <c r="D45" s="618"/>
      <c r="E45" s="618"/>
      <c r="F45" s="618"/>
      <c r="G45" s="618"/>
      <c r="H45" s="618"/>
      <c r="I45" s="618"/>
      <c r="J45" s="618"/>
      <c r="K45" s="618"/>
      <c r="L45" s="618"/>
      <c r="M45" s="618"/>
      <c r="N45" s="618"/>
      <c r="O45" s="618"/>
      <c r="P45" s="618"/>
      <c r="Q45" s="618"/>
      <c r="R45" s="618"/>
      <c r="S45" s="618"/>
      <c r="T45" s="660"/>
      <c r="U45" s="768"/>
      <c r="V45" s="768"/>
      <c r="W45" s="768"/>
      <c r="X45" s="768"/>
      <c r="Y45" s="768"/>
      <c r="Z45" s="768"/>
      <c r="AA45" s="768"/>
      <c r="AB45" s="768"/>
      <c r="AC45" s="768"/>
      <c r="AD45" s="768"/>
      <c r="AE45" s="768"/>
      <c r="AF45" s="768"/>
      <c r="AG45" s="694"/>
      <c r="AH45" s="694"/>
      <c r="AI45" s="694"/>
      <c r="AJ45" s="694"/>
      <c r="AK45" s="693"/>
      <c r="AL45" s="690"/>
      <c r="AM45" s="690"/>
      <c r="AN45" s="690"/>
      <c r="AO45" s="690"/>
      <c r="AP45" s="690"/>
      <c r="AQ45" s="690"/>
      <c r="AR45" s="690"/>
      <c r="AS45" s="690"/>
      <c r="AT45" s="690"/>
      <c r="AU45" s="690"/>
      <c r="AV45" s="690"/>
      <c r="AW45" s="690"/>
      <c r="AX45" s="690"/>
      <c r="AY45" s="690"/>
      <c r="AZ45" s="690"/>
      <c r="BA45" s="690"/>
      <c r="BB45" s="690"/>
    </row>
    <row r="46" spans="1:57">
      <c r="B46" s="769" t="s">
        <v>1590</v>
      </c>
      <c r="C46" s="621"/>
      <c r="D46" s="621"/>
      <c r="E46" s="621"/>
      <c r="F46" s="621"/>
      <c r="G46" s="621"/>
      <c r="H46" s="621"/>
      <c r="I46" s="621"/>
      <c r="J46" s="621"/>
      <c r="K46" s="621"/>
      <c r="L46" s="621"/>
      <c r="M46" s="621"/>
      <c r="N46" s="621"/>
      <c r="O46" s="621"/>
      <c r="P46" s="621"/>
      <c r="Q46" s="621"/>
      <c r="R46" s="621"/>
      <c r="S46" s="770"/>
      <c r="T46" s="621"/>
      <c r="U46" s="621"/>
      <c r="V46" s="621"/>
      <c r="W46" s="621"/>
      <c r="X46" s="621"/>
      <c r="Y46" s="621"/>
      <c r="Z46" s="621"/>
      <c r="AA46" s="621"/>
      <c r="AB46" s="621"/>
      <c r="AC46" s="621"/>
      <c r="AD46" s="621"/>
      <c r="AE46" s="621"/>
      <c r="AF46" s="621"/>
      <c r="AG46" s="771"/>
      <c r="AH46" s="771"/>
      <c r="AI46" s="771"/>
      <c r="AJ46" s="771"/>
      <c r="AK46" s="772"/>
      <c r="AL46" s="690"/>
      <c r="AM46" s="690"/>
      <c r="AN46" s="690"/>
      <c r="AO46" s="690"/>
      <c r="AP46" s="690"/>
      <c r="AQ46" s="690"/>
      <c r="AR46" s="690"/>
      <c r="AS46" s="690"/>
      <c r="AT46" s="690"/>
      <c r="AU46" s="690"/>
      <c r="AV46" s="690"/>
      <c r="AW46" s="690"/>
      <c r="AX46" s="690"/>
      <c r="AY46" s="690"/>
      <c r="AZ46" s="690"/>
      <c r="BA46" s="690"/>
      <c r="BB46" s="690"/>
    </row>
    <row r="47" spans="1:57">
      <c r="B47" s="689"/>
      <c r="C47" s="689"/>
      <c r="D47" s="689"/>
      <c r="E47" s="689"/>
      <c r="F47" s="689"/>
      <c r="G47" s="689"/>
      <c r="H47" s="689"/>
      <c r="I47" s="689"/>
      <c r="J47" s="689"/>
      <c r="K47" s="689"/>
      <c r="L47" s="689"/>
      <c r="M47" s="689"/>
      <c r="N47" s="689"/>
      <c r="O47" s="689"/>
      <c r="P47" s="689"/>
      <c r="Q47" s="689"/>
      <c r="R47" s="689"/>
      <c r="S47" s="689"/>
      <c r="T47" s="689"/>
      <c r="U47" s="689"/>
      <c r="V47" s="689"/>
      <c r="W47" s="689"/>
      <c r="X47" s="689"/>
      <c r="Y47" s="689"/>
      <c r="Z47" s="689"/>
      <c r="AA47" s="689"/>
      <c r="AB47" s="689"/>
      <c r="AC47" s="689"/>
      <c r="AD47" s="689"/>
      <c r="AE47" s="689"/>
      <c r="AF47" s="689"/>
      <c r="AG47" s="689"/>
      <c r="AH47" s="689"/>
      <c r="AI47" s="689"/>
      <c r="AJ47" s="689"/>
      <c r="AK47" s="689"/>
      <c r="AL47" s="618"/>
      <c r="AM47" s="618"/>
      <c r="AN47" s="618"/>
      <c r="AO47" s="618"/>
      <c r="AP47" s="618"/>
      <c r="AQ47" s="618"/>
      <c r="AR47" s="618"/>
      <c r="AS47" s="618"/>
      <c r="AT47" s="618"/>
      <c r="AU47" s="618"/>
      <c r="AV47" s="618"/>
      <c r="AW47" s="618"/>
      <c r="AX47" s="618"/>
      <c r="AY47" s="618"/>
      <c r="AZ47" s="618"/>
      <c r="BA47" s="618"/>
      <c r="BB47" s="618"/>
    </row>
  </sheetData>
  <mergeCells count="32">
    <mergeCell ref="B26:P26"/>
    <mergeCell ref="Q26:X26"/>
    <mergeCell ref="Y26:AG26"/>
    <mergeCell ref="AH26:AK26"/>
    <mergeCell ref="B4:AK4"/>
    <mergeCell ref="AE7:AK7"/>
    <mergeCell ref="W9:AK9"/>
    <mergeCell ref="B24:AK24"/>
    <mergeCell ref="K6:S6"/>
    <mergeCell ref="AH5:AK5"/>
    <mergeCell ref="J5:Y5"/>
    <mergeCell ref="AH6:AJ6"/>
    <mergeCell ref="AB6:AG6"/>
    <mergeCell ref="B30:P30"/>
    <mergeCell ref="Y30:AG30"/>
    <mergeCell ref="AH30:AK30"/>
    <mergeCell ref="Q27:X27"/>
    <mergeCell ref="Y27:AG27"/>
    <mergeCell ref="AH27:AK27"/>
    <mergeCell ref="AH28:AK28"/>
    <mergeCell ref="B37:P37"/>
    <mergeCell ref="Y37:AG37"/>
    <mergeCell ref="AH37:AK37"/>
    <mergeCell ref="B34:P34"/>
    <mergeCell ref="Y34:AG34"/>
    <mergeCell ref="AH34:AK34"/>
    <mergeCell ref="Q40:X41"/>
    <mergeCell ref="Y40:AG40"/>
    <mergeCell ref="AH40:AK40"/>
    <mergeCell ref="Q42:X43"/>
    <mergeCell ref="Y42:AG43"/>
    <mergeCell ref="AH42:AK43"/>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M31"/>
  <sheetViews>
    <sheetView topLeftCell="A22" workbookViewId="0">
      <selection activeCell="I14" sqref="I14"/>
    </sheetView>
  </sheetViews>
  <sheetFormatPr baseColWidth="10" defaultRowHeight="14.25"/>
  <cols>
    <col min="1" max="1" width="5.7109375" style="2" customWidth="1"/>
    <col min="2" max="2" width="20.28515625" style="2" customWidth="1"/>
    <col min="3" max="3" width="17.7109375" style="2" customWidth="1"/>
    <col min="4" max="4" width="14.7109375" style="2" customWidth="1"/>
    <col min="5" max="5" width="20" style="2" customWidth="1"/>
    <col min="6" max="6" width="25.5703125" style="2" customWidth="1"/>
    <col min="7" max="16384" width="11.42578125" style="2"/>
  </cols>
  <sheetData>
    <row r="6" spans="2:13" s="638" customFormat="1" ht="15" customHeight="1">
      <c r="B6" s="1330" t="str">
        <f>_soNom</f>
        <v>Cecotra</v>
      </c>
      <c r="C6" s="1330"/>
      <c r="D6" s="1330"/>
      <c r="E6" s="1330"/>
      <c r="F6" s="736" t="str">
        <f>_ExerClos</f>
        <v>Exercice clos le 31/12/2025</v>
      </c>
    </row>
    <row r="7" spans="2:13" s="638" customFormat="1" ht="14.25" customHeight="1">
      <c r="B7" s="1330" t="str">
        <f>_soId</f>
        <v> 3201810353457</v>
      </c>
      <c r="C7" s="1330"/>
      <c r="D7" s="758"/>
      <c r="E7" s="697"/>
      <c r="F7" s="736" t="str">
        <f>_Duree</f>
        <v>Durée (en mois) 12</v>
      </c>
      <c r="G7" s="1319"/>
      <c r="H7" s="1319"/>
      <c r="I7" s="1319"/>
      <c r="J7" s="1319"/>
      <c r="K7" s="1319"/>
      <c r="L7" s="1319"/>
      <c r="M7" s="1319"/>
    </row>
    <row r="9" spans="2:13" ht="17.25">
      <c r="B9" s="1332" t="s">
        <v>1631</v>
      </c>
      <c r="C9" s="1332"/>
      <c r="D9" s="1332"/>
      <c r="E9" s="1332"/>
      <c r="F9" s="1332"/>
    </row>
    <row r="10" spans="2:13" ht="15">
      <c r="B10" s="744"/>
      <c r="C10" s="744"/>
      <c r="D10" s="744"/>
      <c r="E10" s="744"/>
      <c r="F10" s="744"/>
    </row>
    <row r="11" spans="2:13" ht="30" customHeight="1">
      <c r="B11" s="739" t="s">
        <v>1627</v>
      </c>
      <c r="C11" s="739" t="s">
        <v>1626</v>
      </c>
      <c r="D11" s="739" t="s">
        <v>1625</v>
      </c>
      <c r="E11" s="743" t="s">
        <v>1630</v>
      </c>
      <c r="F11" s="743" t="s">
        <v>1624</v>
      </c>
    </row>
    <row r="12" spans="2:13" ht="20.100000000000001" customHeight="1">
      <c r="B12" s="1789" t="s">
        <v>1697</v>
      </c>
      <c r="C12" s="1789" t="s">
        <v>1698</v>
      </c>
      <c r="D12" s="1788" t="s">
        <v>1699</v>
      </c>
      <c r="E12" s="1790">
        <v>3201810353457</v>
      </c>
      <c r="F12" s="1789" t="s">
        <v>1700</v>
      </c>
    </row>
    <row r="13" spans="2:13" ht="20.100000000000001" customHeight="1">
      <c r="B13" s="822"/>
      <c r="C13" s="822"/>
      <c r="D13" s="738"/>
      <c r="E13" s="822"/>
      <c r="F13" s="822"/>
    </row>
    <row r="14" spans="2:13" ht="20.100000000000001" customHeight="1">
      <c r="B14" s="822"/>
      <c r="C14" s="822"/>
      <c r="D14" s="738"/>
      <c r="E14" s="822"/>
      <c r="F14" s="822"/>
    </row>
    <row r="15" spans="2:13" ht="20.100000000000001" customHeight="1">
      <c r="B15" s="822"/>
      <c r="C15" s="822"/>
      <c r="D15" s="738"/>
      <c r="E15" s="822"/>
      <c r="F15" s="822"/>
    </row>
    <row r="16" spans="2:13" ht="20.100000000000001" customHeight="1">
      <c r="B16" s="822"/>
      <c r="C16" s="822"/>
      <c r="D16" s="738"/>
      <c r="E16" s="822"/>
      <c r="F16" s="822"/>
    </row>
    <row r="17" spans="2:6" ht="19.5" customHeight="1">
      <c r="B17" s="823"/>
      <c r="C17" s="823"/>
      <c r="D17" s="795"/>
      <c r="E17" s="737"/>
      <c r="F17" s="737"/>
    </row>
    <row r="19" spans="2:6" ht="15">
      <c r="B19" s="742" t="s">
        <v>1629</v>
      </c>
      <c r="C19" s="741"/>
      <c r="D19" s="741"/>
      <c r="E19" s="741"/>
      <c r="F19" s="741"/>
    </row>
    <row r="21" spans="2:6" ht="15">
      <c r="B21" s="740"/>
      <c r="C21" s="740"/>
      <c r="D21" s="740"/>
      <c r="E21" s="740"/>
      <c r="F21" s="740"/>
    </row>
    <row r="22" spans="2:6" ht="15">
      <c r="B22" s="1332" t="s">
        <v>1628</v>
      </c>
      <c r="C22" s="1332"/>
      <c r="D22" s="1332"/>
      <c r="E22" s="1332"/>
      <c r="F22" s="1332"/>
    </row>
    <row r="23" spans="2:6" ht="15">
      <c r="B23" s="740"/>
      <c r="C23" s="740"/>
      <c r="D23" s="740"/>
      <c r="E23" s="740"/>
      <c r="F23" s="740"/>
    </row>
    <row r="24" spans="2:6" ht="30" customHeight="1">
      <c r="B24" s="739" t="s">
        <v>1627</v>
      </c>
      <c r="C24" s="739" t="s">
        <v>1626</v>
      </c>
      <c r="D24" s="739" t="s">
        <v>1625</v>
      </c>
      <c r="E24" s="1336" t="s">
        <v>1624</v>
      </c>
      <c r="F24" s="1337"/>
    </row>
    <row r="25" spans="2:6" ht="20.100000000000001" customHeight="1">
      <c r="B25" s="822"/>
      <c r="C25" s="822"/>
      <c r="D25" s="822"/>
      <c r="E25" s="1335"/>
      <c r="F25" s="1335"/>
    </row>
    <row r="26" spans="2:6" ht="20.100000000000001" customHeight="1">
      <c r="B26" s="822"/>
      <c r="C26" s="822"/>
      <c r="D26" s="822"/>
      <c r="E26" s="1335"/>
      <c r="F26" s="1335"/>
    </row>
    <row r="27" spans="2:6" ht="20.100000000000001" customHeight="1">
      <c r="B27" s="822"/>
      <c r="C27" s="822"/>
      <c r="D27" s="822"/>
      <c r="E27" s="1333"/>
      <c r="F27" s="1334"/>
    </row>
    <row r="28" spans="2:6" ht="20.100000000000001" customHeight="1">
      <c r="B28" s="822"/>
      <c r="C28" s="822"/>
      <c r="D28" s="822"/>
      <c r="E28" s="1333"/>
      <c r="F28" s="1334"/>
    </row>
    <row r="29" spans="2:6" ht="20.100000000000001" customHeight="1">
      <c r="B29" s="822"/>
      <c r="C29" s="822"/>
      <c r="D29" s="822"/>
      <c r="E29" s="1335"/>
      <c r="F29" s="1335"/>
    </row>
    <row r="30" spans="2:6" ht="20.100000000000001" customHeight="1">
      <c r="B30" s="822"/>
      <c r="C30" s="823"/>
      <c r="D30" s="822"/>
      <c r="E30" s="1333"/>
      <c r="F30" s="1334"/>
    </row>
    <row r="31" spans="2:6" ht="17.25" customHeight="1">
      <c r="B31" s="823"/>
      <c r="C31" s="737"/>
      <c r="D31" s="822"/>
      <c r="E31" s="1331"/>
      <c r="F31" s="1331"/>
    </row>
  </sheetData>
  <mergeCells count="13">
    <mergeCell ref="G7:M7"/>
    <mergeCell ref="E25:F25"/>
    <mergeCell ref="E24:F24"/>
    <mergeCell ref="E26:F26"/>
    <mergeCell ref="E27:F27"/>
    <mergeCell ref="B6:E6"/>
    <mergeCell ref="B7:C7"/>
    <mergeCell ref="E31:F31"/>
    <mergeCell ref="B9:F9"/>
    <mergeCell ref="B22:F22"/>
    <mergeCell ref="E28:F28"/>
    <mergeCell ref="E30:F30"/>
    <mergeCell ref="E29:F29"/>
  </mergeCells>
  <pageMargins left="0" right="0" top="0.74803149606299213" bottom="0.74803149606299213" header="0.31496062992125984" footer="0.31496062992125984"/>
  <pageSetup paperSize="9" scale="9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topLeftCell="A8" workbookViewId="0">
      <selection activeCell="F13" sqref="F13"/>
    </sheetView>
  </sheetViews>
  <sheetFormatPr baseColWidth="10" defaultRowHeight="15"/>
  <cols>
    <col min="1" max="1" width="12.7109375" customWidth="1"/>
    <col min="2" max="2" width="75.42578125" customWidth="1"/>
    <col min="3" max="3" width="14.5703125" customWidth="1"/>
    <col min="4" max="4" width="13.42578125" customWidth="1"/>
  </cols>
  <sheetData>
    <row r="1" spans="1:4" ht="18">
      <c r="A1" s="7"/>
      <c r="B1" s="2"/>
      <c r="C1" s="5"/>
      <c r="D1" s="2"/>
    </row>
    <row r="2" spans="1:4" ht="18">
      <c r="A2" s="7"/>
      <c r="B2" s="2"/>
      <c r="C2" s="5"/>
      <c r="D2" s="2"/>
    </row>
    <row r="3" spans="1:4">
      <c r="A3" s="1338" t="str">
        <f>_soNom</f>
        <v>Cecotra</v>
      </c>
      <c r="B3" s="1338"/>
      <c r="C3" s="1339" t="str">
        <f>_ExerClos</f>
        <v>Exercice clos le 31/12/2025</v>
      </c>
      <c r="D3" s="1339"/>
    </row>
    <row r="4" spans="1:4">
      <c r="A4" s="6" t="str">
        <f>_soId</f>
        <v> 3201810353457</v>
      </c>
      <c r="B4" s="2"/>
      <c r="C4" s="1339" t="str">
        <f>_Duree</f>
        <v>Durée (en mois) 12</v>
      </c>
      <c r="D4" s="1339"/>
    </row>
    <row r="5" spans="1:4" ht="6.75" customHeight="1" thickBot="1"/>
    <row r="6" spans="1:4" s="87" customFormat="1" ht="16.5" customHeight="1" thickBot="1">
      <c r="A6" s="862" t="s">
        <v>1423</v>
      </c>
      <c r="B6" s="862" t="s">
        <v>1424</v>
      </c>
      <c r="C6" s="862" t="s">
        <v>220</v>
      </c>
      <c r="D6" s="862" t="s">
        <v>1502</v>
      </c>
    </row>
    <row r="7" spans="1:4" s="541" customFormat="1" ht="15" customHeight="1" thickBot="1">
      <c r="A7" s="536" t="s">
        <v>1425</v>
      </c>
      <c r="B7" s="537" t="s">
        <v>1426</v>
      </c>
      <c r="C7" s="1791"/>
      <c r="D7" s="1791" t="s">
        <v>1701</v>
      </c>
    </row>
    <row r="8" spans="1:4" s="541" customFormat="1" ht="15" customHeight="1" thickBot="1">
      <c r="A8" s="536" t="s">
        <v>1427</v>
      </c>
      <c r="B8" s="537" t="s">
        <v>1428</v>
      </c>
      <c r="C8" s="1791" t="s">
        <v>1701</v>
      </c>
      <c r="D8" s="1791"/>
    </row>
    <row r="9" spans="1:4" s="541" customFormat="1" ht="15" customHeight="1" thickBot="1">
      <c r="A9" s="536" t="s">
        <v>1429</v>
      </c>
      <c r="B9" s="537" t="s">
        <v>1430</v>
      </c>
      <c r="C9" s="1791"/>
      <c r="D9" s="1791" t="s">
        <v>1701</v>
      </c>
    </row>
    <row r="10" spans="1:4" s="541" customFormat="1" ht="15" customHeight="1" thickBot="1">
      <c r="A10" s="536" t="s">
        <v>1431</v>
      </c>
      <c r="B10" s="537" t="s">
        <v>384</v>
      </c>
      <c r="C10" s="1791" t="s">
        <v>1701</v>
      </c>
      <c r="D10" s="1791"/>
    </row>
    <row r="11" spans="1:4" s="541" customFormat="1" ht="15" customHeight="1" thickBot="1">
      <c r="A11" s="536" t="s">
        <v>1432</v>
      </c>
      <c r="B11" s="537" t="s">
        <v>1433</v>
      </c>
      <c r="C11" s="1791" t="s">
        <v>1701</v>
      </c>
      <c r="D11" s="1791"/>
    </row>
    <row r="12" spans="1:4" s="541" customFormat="1" ht="15" customHeight="1" thickBot="1">
      <c r="A12" s="536" t="s">
        <v>1434</v>
      </c>
      <c r="B12" s="537" t="s">
        <v>1435</v>
      </c>
      <c r="C12" s="1791"/>
      <c r="D12" s="1791" t="s">
        <v>1701</v>
      </c>
    </row>
    <row r="13" spans="1:4" s="541" customFormat="1" ht="15" customHeight="1" thickBot="1">
      <c r="A13" s="536" t="s">
        <v>1436</v>
      </c>
      <c r="B13" s="537" t="s">
        <v>1437</v>
      </c>
      <c r="C13" s="1791"/>
      <c r="D13" s="1791" t="s">
        <v>1701</v>
      </c>
    </row>
    <row r="14" spans="1:4" s="541" customFormat="1" ht="15" customHeight="1" thickBot="1">
      <c r="A14" s="536" t="s">
        <v>1438</v>
      </c>
      <c r="B14" s="537" t="s">
        <v>1439</v>
      </c>
      <c r="C14" s="1791" t="s">
        <v>1701</v>
      </c>
      <c r="D14" s="1791"/>
    </row>
    <row r="15" spans="1:4" s="541" customFormat="1" ht="15" customHeight="1" thickBot="1">
      <c r="A15" s="536" t="s">
        <v>1440</v>
      </c>
      <c r="B15" s="537" t="s">
        <v>415</v>
      </c>
      <c r="C15" s="1791"/>
      <c r="D15" s="1791" t="s">
        <v>1701</v>
      </c>
    </row>
    <row r="16" spans="1:4" s="541" customFormat="1" ht="15" customHeight="1" thickBot="1">
      <c r="A16" s="536" t="s">
        <v>1441</v>
      </c>
      <c r="B16" s="537" t="s">
        <v>441</v>
      </c>
      <c r="C16" s="1791"/>
      <c r="D16" s="1791" t="s">
        <v>1701</v>
      </c>
    </row>
    <row r="17" spans="1:4" s="541" customFormat="1" ht="15" customHeight="1" thickBot="1">
      <c r="A17" s="536" t="s">
        <v>1442</v>
      </c>
      <c r="B17" s="537" t="s">
        <v>1443</v>
      </c>
      <c r="C17" s="1791" t="s">
        <v>1701</v>
      </c>
      <c r="D17" s="1791"/>
    </row>
    <row r="18" spans="1:4" s="541" customFormat="1" ht="15" customHeight="1" thickBot="1">
      <c r="A18" s="536" t="s">
        <v>1444</v>
      </c>
      <c r="B18" s="537" t="s">
        <v>465</v>
      </c>
      <c r="C18" s="1791" t="s">
        <v>1701</v>
      </c>
      <c r="D18" s="1791"/>
    </row>
    <row r="19" spans="1:4" s="541" customFormat="1" ht="15" customHeight="1" thickBot="1">
      <c r="A19" s="536" t="s">
        <v>1445</v>
      </c>
      <c r="B19" s="537" t="s">
        <v>483</v>
      </c>
      <c r="C19" s="1791"/>
      <c r="D19" s="1791" t="s">
        <v>1701</v>
      </c>
    </row>
    <row r="20" spans="1:4" s="541" customFormat="1" ht="15" customHeight="1" thickBot="1">
      <c r="A20" s="536" t="s">
        <v>1446</v>
      </c>
      <c r="B20" s="537" t="s">
        <v>514</v>
      </c>
      <c r="C20" s="1791"/>
      <c r="D20" s="1791" t="s">
        <v>1701</v>
      </c>
    </row>
    <row r="21" spans="1:4" s="541" customFormat="1" ht="15" customHeight="1" thickBot="1">
      <c r="A21" s="536" t="s">
        <v>1447</v>
      </c>
      <c r="B21" s="537" t="s">
        <v>1448</v>
      </c>
      <c r="C21" s="1791"/>
      <c r="D21" s="1791" t="s">
        <v>1701</v>
      </c>
    </row>
    <row r="22" spans="1:4" s="541" customFormat="1" ht="15" customHeight="1" thickBot="1">
      <c r="A22" s="536" t="s">
        <v>1449</v>
      </c>
      <c r="B22" s="537" t="s">
        <v>622</v>
      </c>
      <c r="C22" s="1791"/>
      <c r="D22" s="1791" t="s">
        <v>1701</v>
      </c>
    </row>
    <row r="23" spans="1:4" s="541" customFormat="1" ht="15" customHeight="1" thickBot="1">
      <c r="A23" s="536" t="s">
        <v>1450</v>
      </c>
      <c r="B23" s="537" t="s">
        <v>1451</v>
      </c>
      <c r="C23" s="1791"/>
      <c r="D23" s="1791" t="s">
        <v>1701</v>
      </c>
    </row>
    <row r="24" spans="1:4" s="541" customFormat="1" ht="15" customHeight="1" thickBot="1">
      <c r="A24" s="536" t="s">
        <v>1452</v>
      </c>
      <c r="B24" s="537" t="s">
        <v>1453</v>
      </c>
      <c r="C24" s="1791" t="s">
        <v>1701</v>
      </c>
      <c r="D24" s="1791"/>
    </row>
    <row r="25" spans="1:4" s="541" customFormat="1" ht="15" customHeight="1" thickBot="1">
      <c r="A25" s="536" t="s">
        <v>1454</v>
      </c>
      <c r="B25" s="537" t="s">
        <v>648</v>
      </c>
      <c r="C25" s="1791" t="s">
        <v>1701</v>
      </c>
      <c r="D25" s="1791"/>
    </row>
    <row r="26" spans="1:4" s="541" customFormat="1" ht="15" customHeight="1" thickBot="1">
      <c r="A26" s="536" t="s">
        <v>1455</v>
      </c>
      <c r="B26" s="537" t="s">
        <v>1456</v>
      </c>
      <c r="C26" s="1791"/>
      <c r="D26" s="1791" t="s">
        <v>1701</v>
      </c>
    </row>
    <row r="27" spans="1:4" s="541" customFormat="1" ht="15" customHeight="1" thickBot="1">
      <c r="A27" s="536" t="s">
        <v>1457</v>
      </c>
      <c r="B27" s="537" t="s">
        <v>1458</v>
      </c>
      <c r="C27" s="1791"/>
      <c r="D27" s="1791" t="s">
        <v>1701</v>
      </c>
    </row>
    <row r="28" spans="1:4" s="541" customFormat="1" ht="15" customHeight="1" thickBot="1">
      <c r="A28" s="536" t="s">
        <v>1459</v>
      </c>
      <c r="B28" s="537" t="s">
        <v>1460</v>
      </c>
      <c r="C28" s="1791"/>
      <c r="D28" s="1791" t="s">
        <v>1701</v>
      </c>
    </row>
    <row r="29" spans="1:4" s="541" customFormat="1" ht="15" customHeight="1" thickBot="1">
      <c r="A29" s="796" t="s">
        <v>1461</v>
      </c>
      <c r="B29" s="537" t="s">
        <v>1649</v>
      </c>
      <c r="C29" s="1791"/>
      <c r="D29" s="1791" t="s">
        <v>1701</v>
      </c>
    </row>
    <row r="30" spans="1:4" s="541" customFormat="1" ht="15" customHeight="1" thickBot="1">
      <c r="A30" s="796" t="s">
        <v>1462</v>
      </c>
      <c r="B30" s="537" t="s">
        <v>1649</v>
      </c>
      <c r="C30" s="1791"/>
      <c r="D30" s="1791" t="s">
        <v>1701</v>
      </c>
    </row>
    <row r="31" spans="1:4" s="541" customFormat="1" ht="15" customHeight="1" thickBot="1">
      <c r="A31" s="536" t="s">
        <v>1463</v>
      </c>
      <c r="B31" s="537" t="s">
        <v>1464</v>
      </c>
      <c r="C31" s="1791" t="s">
        <v>1701</v>
      </c>
      <c r="D31" s="1791"/>
    </row>
    <row r="32" spans="1:4" s="541" customFormat="1" ht="15" customHeight="1" thickBot="1">
      <c r="A32" s="536" t="s">
        <v>1465</v>
      </c>
      <c r="B32" s="537" t="s">
        <v>1466</v>
      </c>
      <c r="C32" s="1791"/>
      <c r="D32" s="1791" t="s">
        <v>1701</v>
      </c>
    </row>
    <row r="33" spans="1:4" s="541" customFormat="1" ht="15" customHeight="1" thickBot="1">
      <c r="A33" s="536" t="s">
        <v>1467</v>
      </c>
      <c r="B33" s="537" t="s">
        <v>1397</v>
      </c>
      <c r="C33" s="1791"/>
      <c r="D33" s="1791" t="s">
        <v>1701</v>
      </c>
    </row>
    <row r="34" spans="1:4" s="541" customFormat="1" ht="15" customHeight="1" thickBot="1">
      <c r="A34" s="536" t="s">
        <v>1468</v>
      </c>
      <c r="B34" s="537" t="s">
        <v>1469</v>
      </c>
      <c r="C34" s="1791" t="s">
        <v>1701</v>
      </c>
      <c r="D34" s="1791"/>
    </row>
    <row r="35" spans="1:4" s="541" customFormat="1" ht="15" customHeight="1" thickBot="1">
      <c r="A35" s="536" t="s">
        <v>1470</v>
      </c>
      <c r="B35" s="537" t="s">
        <v>1471</v>
      </c>
      <c r="C35" s="1791" t="s">
        <v>1701</v>
      </c>
      <c r="D35" s="1791"/>
    </row>
    <row r="36" spans="1:4" s="541" customFormat="1" ht="15" customHeight="1" thickBot="1">
      <c r="A36" s="536" t="s">
        <v>1472</v>
      </c>
      <c r="B36" s="537" t="s">
        <v>1473</v>
      </c>
      <c r="C36" s="1791" t="s">
        <v>1701</v>
      </c>
      <c r="D36" s="1791"/>
    </row>
    <row r="37" spans="1:4" s="541" customFormat="1" ht="15" customHeight="1" thickBot="1">
      <c r="A37" s="536" t="s">
        <v>1474</v>
      </c>
      <c r="B37" s="537" t="s">
        <v>813</v>
      </c>
      <c r="C37" s="1791" t="s">
        <v>1701</v>
      </c>
      <c r="D37" s="1791"/>
    </row>
    <row r="38" spans="1:4" s="541" customFormat="1" ht="15" customHeight="1" thickBot="1">
      <c r="A38" s="536" t="s">
        <v>1475</v>
      </c>
      <c r="B38" s="537" t="s">
        <v>834</v>
      </c>
      <c r="C38" s="1791"/>
      <c r="D38" s="1791" t="s">
        <v>1701</v>
      </c>
    </row>
    <row r="39" spans="1:4" s="541" customFormat="1" ht="15" customHeight="1" thickBot="1">
      <c r="A39" s="536" t="s">
        <v>1476</v>
      </c>
      <c r="B39" s="537" t="s">
        <v>1477</v>
      </c>
      <c r="C39" s="1791" t="s">
        <v>1701</v>
      </c>
      <c r="D39" s="1791"/>
    </row>
    <row r="40" spans="1:4" s="541" customFormat="1" ht="15" customHeight="1" thickBot="1">
      <c r="A40" s="536" t="s">
        <v>1478</v>
      </c>
      <c r="B40" s="537" t="s">
        <v>1479</v>
      </c>
      <c r="C40" s="1791" t="s">
        <v>1701</v>
      </c>
      <c r="D40" s="1791"/>
    </row>
    <row r="41" spans="1:4" s="541" customFormat="1" ht="15" customHeight="1" thickBot="1">
      <c r="A41" s="536" t="s">
        <v>1480</v>
      </c>
      <c r="B41" s="537" t="s">
        <v>1481</v>
      </c>
      <c r="C41" s="1791"/>
      <c r="D41" s="1791" t="s">
        <v>1701</v>
      </c>
    </row>
    <row r="42" spans="1:4" s="541" customFormat="1" ht="15" customHeight="1" thickBot="1">
      <c r="A42" s="536" t="s">
        <v>1482</v>
      </c>
      <c r="B42" s="537" t="s">
        <v>1483</v>
      </c>
      <c r="C42" s="1791" t="s">
        <v>1701</v>
      </c>
      <c r="D42" s="1791"/>
    </row>
    <row r="43" spans="1:4" s="541" customFormat="1" ht="15" customHeight="1" thickBot="1">
      <c r="A43" s="536" t="s">
        <v>1484</v>
      </c>
      <c r="B43" s="537" t="s">
        <v>1094</v>
      </c>
      <c r="C43" s="1791" t="s">
        <v>1701</v>
      </c>
      <c r="D43" s="1791"/>
    </row>
    <row r="44" spans="1:4" s="541" customFormat="1" ht="15" customHeight="1" thickBot="1">
      <c r="A44" s="536" t="s">
        <v>1485</v>
      </c>
      <c r="B44" s="537" t="s">
        <v>1486</v>
      </c>
      <c r="C44" s="1791" t="s">
        <v>1701</v>
      </c>
      <c r="D44" s="1791"/>
    </row>
    <row r="45" spans="1:4" s="541" customFormat="1" ht="15" customHeight="1" thickBot="1">
      <c r="A45" s="536" t="s">
        <v>1487</v>
      </c>
      <c r="B45" s="537" t="s">
        <v>1488</v>
      </c>
      <c r="C45" s="1791"/>
      <c r="D45" s="1791" t="s">
        <v>1701</v>
      </c>
    </row>
    <row r="46" spans="1:4" s="541" customFormat="1" ht="15" customHeight="1" thickBot="1">
      <c r="A46" s="536" t="s">
        <v>1489</v>
      </c>
      <c r="B46" s="537" t="s">
        <v>1490</v>
      </c>
      <c r="C46" s="1791" t="s">
        <v>1701</v>
      </c>
      <c r="D46" s="1791"/>
    </row>
    <row r="47" spans="1:4" s="541" customFormat="1" ht="16.5" customHeight="1" thickBot="1">
      <c r="A47" s="536" t="s">
        <v>1491</v>
      </c>
      <c r="B47" s="537" t="s">
        <v>1492</v>
      </c>
      <c r="C47" s="1791" t="s">
        <v>1701</v>
      </c>
      <c r="D47" s="1791"/>
    </row>
    <row r="48" spans="1:4" s="541" customFormat="1" ht="15" customHeight="1" thickBot="1">
      <c r="A48" s="536" t="s">
        <v>1493</v>
      </c>
      <c r="B48" s="537" t="s">
        <v>1192</v>
      </c>
      <c r="C48" s="1791"/>
      <c r="D48" s="1791" t="s">
        <v>1701</v>
      </c>
    </row>
    <row r="49" spans="1:4" s="541" customFormat="1" ht="15" customHeight="1" thickBot="1">
      <c r="A49" s="536" t="s">
        <v>1494</v>
      </c>
      <c r="B49" s="537" t="s">
        <v>1495</v>
      </c>
      <c r="C49" s="1791" t="s">
        <v>1701</v>
      </c>
      <c r="D49" s="1791"/>
    </row>
    <row r="50" spans="1:4" s="541" customFormat="1" ht="15" customHeight="1" thickBot="1">
      <c r="A50" s="536" t="s">
        <v>1496</v>
      </c>
      <c r="B50" s="537" t="s">
        <v>1497</v>
      </c>
      <c r="C50" s="1791" t="s">
        <v>1701</v>
      </c>
      <c r="D50" s="1791"/>
    </row>
    <row r="51" spans="1:4" s="541" customFormat="1" ht="17.25" customHeight="1" thickBot="1">
      <c r="A51" s="536" t="s">
        <v>1498</v>
      </c>
      <c r="B51" s="537" t="s">
        <v>1499</v>
      </c>
      <c r="C51" s="1791" t="s">
        <v>1701</v>
      </c>
      <c r="D51" s="1791"/>
    </row>
    <row r="52" spans="1:4" s="541" customFormat="1" ht="15" customHeight="1" thickBot="1">
      <c r="A52" s="536" t="s">
        <v>1500</v>
      </c>
      <c r="B52" s="537" t="s">
        <v>1501</v>
      </c>
      <c r="C52" s="1791" t="s">
        <v>1701</v>
      </c>
      <c r="D52" s="1791"/>
    </row>
    <row r="53" spans="1:4" s="539" customFormat="1" ht="20.100000000000001" customHeight="1">
      <c r="A53" s="539" t="s">
        <v>1503</v>
      </c>
      <c r="B53" s="540"/>
      <c r="C53" s="540"/>
      <c r="D53" s="540"/>
    </row>
    <row r="54" spans="1:4" ht="20.100000000000001" customHeight="1">
      <c r="A54" s="538"/>
      <c r="B54" s="538"/>
      <c r="C54" s="538"/>
      <c r="D54" s="538"/>
    </row>
    <row r="55" spans="1:4" ht="20.100000000000001" customHeight="1"/>
    <row r="56" spans="1:4" ht="20.100000000000001" customHeight="1"/>
    <row r="57" spans="1:4" ht="20.100000000000001" customHeight="1"/>
    <row r="58" spans="1:4" ht="20.100000000000001" customHeight="1"/>
    <row r="59" spans="1:4" ht="20.100000000000001" customHeight="1"/>
    <row r="60" spans="1:4" ht="20.100000000000001" customHeight="1"/>
    <row r="61" spans="1:4" ht="20.100000000000001" customHeight="1"/>
    <row r="62" spans="1:4" ht="20.100000000000001" customHeight="1"/>
    <row r="63" spans="1:4" ht="20.100000000000001" customHeight="1"/>
    <row r="64" spans="1: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sheetData>
  <mergeCells count="3">
    <mergeCell ref="A3:B3"/>
    <mergeCell ref="C3:D3"/>
    <mergeCell ref="C4:D4"/>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6"/>
  <sheetViews>
    <sheetView showZeros="0" topLeftCell="A23" workbookViewId="0">
      <selection activeCell="D32" sqref="D32"/>
    </sheetView>
  </sheetViews>
  <sheetFormatPr baseColWidth="10" defaultRowHeight="14.25"/>
  <cols>
    <col min="1" max="1" width="5.85546875" style="2" customWidth="1"/>
    <col min="2" max="2" width="41.140625" style="2" customWidth="1"/>
    <col min="3" max="3" width="5.28515625" style="2" customWidth="1"/>
    <col min="4" max="4" width="15.5703125" style="2" customWidth="1"/>
    <col min="5" max="5" width="15.42578125" style="2" customWidth="1"/>
    <col min="6" max="6" width="15.42578125" style="2" bestFit="1" customWidth="1"/>
    <col min="7" max="7" width="16" style="2" customWidth="1"/>
    <col min="8" max="8" width="11.42578125" style="2"/>
    <col min="9" max="9" width="21.5703125" style="2" bestFit="1" customWidth="1"/>
    <col min="10" max="16384" width="11.42578125" style="2"/>
  </cols>
  <sheetData>
    <row r="3" spans="1:9">
      <c r="A3" s="3" t="s">
        <v>0</v>
      </c>
    </row>
    <row r="4" spans="1:9" ht="20.25" customHeight="1">
      <c r="A4" s="1338" t="str">
        <f>_soNom</f>
        <v>Cecotra</v>
      </c>
      <c r="B4" s="1338"/>
      <c r="C4" s="866"/>
      <c r="D4" s="866"/>
      <c r="E4" s="1342" t="str">
        <f>_ExerClos</f>
        <v>Exercice clos le 31/12/2025</v>
      </c>
      <c r="F4" s="1342"/>
      <c r="G4" s="1342"/>
    </row>
    <row r="5" spans="1:9" ht="15" customHeight="1">
      <c r="A5" s="1340" t="str">
        <f>_soId</f>
        <v> 3201810353457</v>
      </c>
      <c r="B5" s="1340"/>
      <c r="C5" s="1340"/>
      <c r="D5" s="1340"/>
      <c r="E5" s="1341" t="str">
        <f>_Duree</f>
        <v>Durée (en mois) 12</v>
      </c>
      <c r="F5" s="1341"/>
      <c r="G5" s="1341"/>
    </row>
    <row r="6" spans="1:9" ht="15" thickBot="1">
      <c r="A6" s="1354" t="s">
        <v>1660</v>
      </c>
      <c r="B6" s="1354"/>
      <c r="C6" s="1354"/>
      <c r="D6" s="1354"/>
      <c r="E6" s="1354"/>
      <c r="F6" s="1354"/>
      <c r="G6" s="1354"/>
    </row>
    <row r="7" spans="1:9" ht="18" customHeight="1">
      <c r="A7" s="1355" t="s">
        <v>65</v>
      </c>
      <c r="B7" s="1346" t="s">
        <v>1</v>
      </c>
      <c r="C7" s="1346" t="s">
        <v>2</v>
      </c>
      <c r="D7" s="1348" t="str">
        <f>_ExerFin</f>
        <v xml:space="preserve"> 31/12/2025</v>
      </c>
      <c r="E7" s="1349"/>
      <c r="F7" s="1350"/>
      <c r="G7" s="1357" t="str">
        <f>_ExerFin1</f>
        <v xml:space="preserve"> 31/12/2024</v>
      </c>
    </row>
    <row r="8" spans="1:9" ht="15" customHeight="1">
      <c r="A8" s="1356"/>
      <c r="B8" s="1347"/>
      <c r="C8" s="1347"/>
      <c r="D8" s="1351"/>
      <c r="E8" s="1352"/>
      <c r="F8" s="1353"/>
      <c r="G8" s="1358"/>
    </row>
    <row r="9" spans="1:9" ht="29.25" customHeight="1">
      <c r="A9" s="1356"/>
      <c r="B9" s="1347"/>
      <c r="C9" s="1347"/>
      <c r="D9" s="12" t="s">
        <v>3</v>
      </c>
      <c r="E9" s="25" t="s">
        <v>67</v>
      </c>
      <c r="F9" s="12" t="s">
        <v>4</v>
      </c>
      <c r="G9" s="12" t="s">
        <v>4</v>
      </c>
    </row>
    <row r="10" spans="1:9" ht="24.95" customHeight="1">
      <c r="A10" s="26" t="s">
        <v>5</v>
      </c>
      <c r="B10" s="27" t="s">
        <v>6</v>
      </c>
      <c r="C10" s="28">
        <v>3</v>
      </c>
      <c r="D10" s="1131">
        <f>SUM(D11:D14)</f>
        <v>0</v>
      </c>
      <c r="E10" s="1131">
        <f>SUM(E11:E14)</f>
        <v>0</v>
      </c>
      <c r="F10" s="1131">
        <f t="shared" ref="F10:G10" si="0">SUM(F11:F14)</f>
        <v>0</v>
      </c>
      <c r="G10" s="1131">
        <f t="shared" si="0"/>
        <v>0</v>
      </c>
      <c r="I10" s="516"/>
    </row>
    <row r="11" spans="1:9" ht="24.95" customHeight="1">
      <c r="A11" s="29" t="s">
        <v>8</v>
      </c>
      <c r="B11" s="30" t="s">
        <v>9</v>
      </c>
      <c r="C11" s="31" t="s">
        <v>7</v>
      </c>
      <c r="D11" s="1132">
        <v>0</v>
      </c>
      <c r="E11" s="1132">
        <v>0</v>
      </c>
      <c r="F11" s="1132">
        <f>D11-E11</f>
        <v>0</v>
      </c>
      <c r="G11" s="1132">
        <v>0</v>
      </c>
    </row>
    <row r="12" spans="1:9" ht="24.95" customHeight="1">
      <c r="A12" s="32" t="s">
        <v>10</v>
      </c>
      <c r="B12" s="30" t="s">
        <v>11</v>
      </c>
      <c r="C12" s="31" t="s">
        <v>7</v>
      </c>
      <c r="D12" s="1132">
        <v>0</v>
      </c>
      <c r="E12" s="1133">
        <v>0</v>
      </c>
      <c r="F12" s="1132">
        <f>D12-E12</f>
        <v>0</v>
      </c>
      <c r="G12" s="1133">
        <v>0</v>
      </c>
    </row>
    <row r="13" spans="1:9" ht="24.95" customHeight="1">
      <c r="A13" s="32" t="s">
        <v>12</v>
      </c>
      <c r="B13" s="30" t="s">
        <v>13</v>
      </c>
      <c r="C13" s="31" t="s">
        <v>7</v>
      </c>
      <c r="D13" s="1133">
        <v>0</v>
      </c>
      <c r="E13" s="1133">
        <v>0</v>
      </c>
      <c r="F13" s="1133">
        <f>D13-E13</f>
        <v>0</v>
      </c>
      <c r="G13" s="1133">
        <v>0</v>
      </c>
    </row>
    <row r="14" spans="1:9" ht="24.95" customHeight="1">
      <c r="A14" s="32" t="s">
        <v>14</v>
      </c>
      <c r="B14" s="30" t="s">
        <v>15</v>
      </c>
      <c r="C14" s="31" t="s">
        <v>7</v>
      </c>
      <c r="D14" s="1133">
        <v>0</v>
      </c>
      <c r="E14" s="1133">
        <v>0</v>
      </c>
      <c r="F14" s="1133">
        <f t="shared" ref="F14" si="1">D14-E14</f>
        <v>0</v>
      </c>
      <c r="G14" s="1133">
        <v>0</v>
      </c>
      <c r="I14" s="748"/>
    </row>
    <row r="15" spans="1:9" ht="24.95" customHeight="1">
      <c r="A15" s="17" t="s">
        <v>16</v>
      </c>
      <c r="B15" s="33" t="s">
        <v>17</v>
      </c>
      <c r="C15" s="34">
        <v>3</v>
      </c>
      <c r="D15" s="1131">
        <f>SUM(D16:D23)</f>
        <v>4191653</v>
      </c>
      <c r="E15" s="1131">
        <f t="shared" ref="E15:F15" si="2">SUM(E16:E23)</f>
        <v>1387058</v>
      </c>
      <c r="F15" s="1131">
        <f t="shared" si="2"/>
        <v>2804595</v>
      </c>
      <c r="G15" s="1131">
        <f>SUM(G16:G23)</f>
        <v>2804595</v>
      </c>
      <c r="I15" s="748"/>
    </row>
    <row r="16" spans="1:9" ht="24.95" customHeight="1">
      <c r="A16" s="1344" t="s">
        <v>18</v>
      </c>
      <c r="B16" s="514" t="s">
        <v>19</v>
      </c>
      <c r="C16" s="30" t="s">
        <v>0</v>
      </c>
      <c r="D16" s="1343">
        <v>0</v>
      </c>
      <c r="E16" s="1343">
        <v>0</v>
      </c>
      <c r="F16" s="1343">
        <f>D16-E16</f>
        <v>0</v>
      </c>
      <c r="G16" s="1343">
        <v>0</v>
      </c>
      <c r="I16" s="748"/>
    </row>
    <row r="17" spans="1:9" ht="24.95" customHeight="1">
      <c r="A17" s="1344"/>
      <c r="B17" s="515" t="s">
        <v>20</v>
      </c>
      <c r="C17" s="31" t="s">
        <v>7</v>
      </c>
      <c r="D17" s="1343"/>
      <c r="E17" s="1343"/>
      <c r="F17" s="1343"/>
      <c r="G17" s="1343"/>
      <c r="I17" s="748"/>
    </row>
    <row r="18" spans="1:9" ht="21.75" customHeight="1">
      <c r="A18" s="1345" t="s">
        <v>21</v>
      </c>
      <c r="B18" s="514" t="s">
        <v>22</v>
      </c>
      <c r="C18" s="1344" t="s">
        <v>7</v>
      </c>
      <c r="D18" s="1343">
        <v>0</v>
      </c>
      <c r="E18" s="1343">
        <v>0</v>
      </c>
      <c r="F18" s="1343">
        <f>D18-E18</f>
        <v>0</v>
      </c>
      <c r="G18" s="1343">
        <v>0</v>
      </c>
      <c r="I18" s="748"/>
    </row>
    <row r="19" spans="1:9" ht="24.95" customHeight="1">
      <c r="A19" s="1345"/>
      <c r="B19" s="515" t="s">
        <v>23</v>
      </c>
      <c r="C19" s="1344"/>
      <c r="D19" s="1343"/>
      <c r="E19" s="1343"/>
      <c r="F19" s="1343"/>
      <c r="G19" s="1343"/>
      <c r="I19" s="748"/>
    </row>
    <row r="20" spans="1:9" ht="24.95" customHeight="1">
      <c r="A20" s="29" t="s">
        <v>24</v>
      </c>
      <c r="B20" s="30" t="s">
        <v>25</v>
      </c>
      <c r="C20" s="31" t="s">
        <v>7</v>
      </c>
      <c r="D20" s="1132">
        <v>482083</v>
      </c>
      <c r="E20" s="1132">
        <v>96416</v>
      </c>
      <c r="F20" s="1132">
        <f>D20-E20</f>
        <v>385667</v>
      </c>
      <c r="G20" s="1132">
        <v>385667</v>
      </c>
      <c r="I20" s="516"/>
    </row>
    <row r="21" spans="1:9" ht="24.95" customHeight="1">
      <c r="A21" s="35" t="s">
        <v>26</v>
      </c>
      <c r="B21" s="30" t="s">
        <v>27</v>
      </c>
      <c r="C21" s="31" t="s">
        <v>7</v>
      </c>
      <c r="D21" s="1132">
        <v>965930</v>
      </c>
      <c r="E21" s="1132">
        <v>193186</v>
      </c>
      <c r="F21" s="1132">
        <f t="shared" ref="F21:F23" si="3">D21-E21</f>
        <v>772744</v>
      </c>
      <c r="G21" s="1132">
        <v>772744</v>
      </c>
    </row>
    <row r="22" spans="1:9" ht="24.95" customHeight="1">
      <c r="A22" s="35" t="s">
        <v>28</v>
      </c>
      <c r="B22" s="30" t="s">
        <v>29</v>
      </c>
      <c r="C22" s="31" t="s">
        <v>7</v>
      </c>
      <c r="D22" s="1132">
        <v>2743640</v>
      </c>
      <c r="E22" s="1132">
        <v>1097456</v>
      </c>
      <c r="F22" s="1132">
        <f>D22-E22</f>
        <v>1646184</v>
      </c>
      <c r="G22" s="1132">
        <v>1646184</v>
      </c>
    </row>
    <row r="23" spans="1:9" ht="24.95" customHeight="1">
      <c r="A23" s="29" t="s">
        <v>30</v>
      </c>
      <c r="B23" s="30" t="s">
        <v>31</v>
      </c>
      <c r="C23" s="31">
        <v>3</v>
      </c>
      <c r="D23" s="1132">
        <v>0</v>
      </c>
      <c r="E23" s="1132">
        <v>0</v>
      </c>
      <c r="F23" s="1132">
        <f t="shared" si="3"/>
        <v>0</v>
      </c>
      <c r="G23" s="1132">
        <v>0</v>
      </c>
    </row>
    <row r="24" spans="1:9" ht="24.95" customHeight="1">
      <c r="A24" s="36" t="s">
        <v>32</v>
      </c>
      <c r="B24" s="27" t="s">
        <v>33</v>
      </c>
      <c r="C24" s="28">
        <v>4</v>
      </c>
      <c r="D24" s="1131">
        <f>SUM(D25:D26)</f>
        <v>562500</v>
      </c>
      <c r="E24" s="1131">
        <f t="shared" ref="E24:F24" si="4">SUM(E25:E26)</f>
        <v>0</v>
      </c>
      <c r="F24" s="1131">
        <f t="shared" si="4"/>
        <v>562500</v>
      </c>
      <c r="G24" s="1131">
        <f t="shared" ref="G24" si="5">SUM(G25:G26)</f>
        <v>562500</v>
      </c>
      <c r="I24" s="516"/>
    </row>
    <row r="25" spans="1:9" ht="24.95" customHeight="1">
      <c r="A25" s="29" t="s">
        <v>34</v>
      </c>
      <c r="B25" s="30" t="s">
        <v>35</v>
      </c>
      <c r="C25" s="31" t="s">
        <v>7</v>
      </c>
      <c r="D25" s="1132">
        <v>0</v>
      </c>
      <c r="E25" s="1132">
        <v>0</v>
      </c>
      <c r="F25" s="1132">
        <f>D25-E25</f>
        <v>0</v>
      </c>
      <c r="G25" s="1132">
        <v>0</v>
      </c>
    </row>
    <row r="26" spans="1:9" ht="24.95" customHeight="1">
      <c r="A26" s="29" t="s">
        <v>36</v>
      </c>
      <c r="B26" s="30" t="s">
        <v>37</v>
      </c>
      <c r="C26" s="31" t="s">
        <v>7</v>
      </c>
      <c r="D26" s="1132">
        <v>562500</v>
      </c>
      <c r="E26" s="1132">
        <v>0</v>
      </c>
      <c r="F26" s="1132">
        <f>D26-E26</f>
        <v>562500</v>
      </c>
      <c r="G26" s="1132">
        <v>562500</v>
      </c>
    </row>
    <row r="27" spans="1:9" ht="24.95" customHeight="1">
      <c r="A27" s="26" t="s">
        <v>38</v>
      </c>
      <c r="B27" s="37" t="s">
        <v>39</v>
      </c>
      <c r="C27" s="38" t="s">
        <v>7</v>
      </c>
      <c r="D27" s="1134">
        <f>SUM(D10+D15+D24)</f>
        <v>4754153</v>
      </c>
      <c r="E27" s="1134">
        <f>SUM(E10+E15+E24)</f>
        <v>1387058</v>
      </c>
      <c r="F27" s="1134">
        <f>SUM(F10+F15+F24)</f>
        <v>3367095</v>
      </c>
      <c r="G27" s="1134">
        <f>SUM(G10+G15+G24)</f>
        <v>3367095</v>
      </c>
    </row>
    <row r="28" spans="1:9" ht="24.95" customHeight="1">
      <c r="A28" s="29" t="s">
        <v>40</v>
      </c>
      <c r="B28" s="518" t="s">
        <v>41</v>
      </c>
      <c r="C28" s="519">
        <v>5</v>
      </c>
      <c r="D28" s="1135">
        <v>0</v>
      </c>
      <c r="E28" s="1135">
        <v>0</v>
      </c>
      <c r="F28" s="1135">
        <f>D28-E28</f>
        <v>0</v>
      </c>
      <c r="G28" s="1135">
        <v>0</v>
      </c>
    </row>
    <row r="29" spans="1:9" ht="24.95" customHeight="1">
      <c r="A29" s="29" t="s">
        <v>42</v>
      </c>
      <c r="B29" s="518" t="s">
        <v>43</v>
      </c>
      <c r="C29" s="519">
        <v>6</v>
      </c>
      <c r="D29" s="1135">
        <v>52704386</v>
      </c>
      <c r="E29" s="1135">
        <v>0</v>
      </c>
      <c r="F29" s="1135">
        <f>D29-E29</f>
        <v>52704386</v>
      </c>
      <c r="G29" s="1135">
        <v>52704386</v>
      </c>
    </row>
    <row r="30" spans="1:9" ht="24.95" customHeight="1">
      <c r="A30" s="29" t="s">
        <v>44</v>
      </c>
      <c r="B30" s="518" t="s">
        <v>45</v>
      </c>
      <c r="C30" s="519" t="s">
        <v>7</v>
      </c>
      <c r="D30" s="1135">
        <f>SUM(D31:D33)</f>
        <v>22783128</v>
      </c>
      <c r="E30" s="1135">
        <f>SUM(E31:E33)</f>
        <v>0</v>
      </c>
      <c r="F30" s="1135">
        <f>SUM(F31:F33)</f>
        <v>22783128</v>
      </c>
      <c r="G30" s="1135">
        <f t="shared" ref="G30" si="6">SUM(G31:G33)</f>
        <v>72100</v>
      </c>
    </row>
    <row r="31" spans="1:9" ht="24.95" customHeight="1">
      <c r="A31" s="29" t="s">
        <v>46</v>
      </c>
      <c r="B31" s="30" t="s">
        <v>47</v>
      </c>
      <c r="C31" s="31">
        <v>17</v>
      </c>
      <c r="D31" s="1132">
        <v>0</v>
      </c>
      <c r="E31" s="1132">
        <v>0</v>
      </c>
      <c r="F31" s="1132">
        <f t="shared" ref="F31:F33" si="7">D31-E31</f>
        <v>0</v>
      </c>
      <c r="G31" s="1132">
        <v>0</v>
      </c>
    </row>
    <row r="32" spans="1:9" ht="24.95" customHeight="1">
      <c r="A32" s="29" t="s">
        <v>48</v>
      </c>
      <c r="B32" s="30" t="s">
        <v>49</v>
      </c>
      <c r="C32" s="31">
        <v>7</v>
      </c>
      <c r="D32" s="1132">
        <v>22783128</v>
      </c>
      <c r="E32" s="1132">
        <v>0</v>
      </c>
      <c r="F32" s="1132">
        <f t="shared" si="7"/>
        <v>22783128</v>
      </c>
      <c r="G32" s="1132">
        <v>72100</v>
      </c>
      <c r="I32" s="516"/>
    </row>
    <row r="33" spans="1:9" ht="24.95" customHeight="1">
      <c r="A33" s="29" t="s">
        <v>50</v>
      </c>
      <c r="B33" s="30" t="s">
        <v>51</v>
      </c>
      <c r="C33" s="31">
        <v>8</v>
      </c>
      <c r="D33" s="1132">
        <v>0</v>
      </c>
      <c r="E33" s="1132">
        <v>0</v>
      </c>
      <c r="F33" s="1132">
        <f t="shared" si="7"/>
        <v>0</v>
      </c>
      <c r="G33" s="1132">
        <v>0</v>
      </c>
    </row>
    <row r="34" spans="1:9" ht="24.95" customHeight="1">
      <c r="A34" s="36" t="s">
        <v>52</v>
      </c>
      <c r="B34" s="37" t="s">
        <v>53</v>
      </c>
      <c r="C34" s="38" t="s">
        <v>7</v>
      </c>
      <c r="D34" s="1134">
        <f>+D28+D29+D30</f>
        <v>75487514</v>
      </c>
      <c r="E34" s="1134">
        <f>+E28+E29+E30</f>
        <v>0</v>
      </c>
      <c r="F34" s="1134">
        <f>+D34-E34</f>
        <v>75487514</v>
      </c>
      <c r="G34" s="1134">
        <f>G28+G29+G30</f>
        <v>52776486</v>
      </c>
    </row>
    <row r="35" spans="1:9" ht="24.95" customHeight="1">
      <c r="A35" s="29" t="s">
        <v>54</v>
      </c>
      <c r="B35" s="30" t="s">
        <v>55</v>
      </c>
      <c r="C35" s="31">
        <v>9</v>
      </c>
      <c r="D35" s="1132">
        <v>0</v>
      </c>
      <c r="E35" s="1132">
        <v>0</v>
      </c>
      <c r="F35" s="1132">
        <f>D35-E35</f>
        <v>0</v>
      </c>
      <c r="G35" s="1132">
        <v>0</v>
      </c>
    </row>
    <row r="36" spans="1:9" ht="24.95" customHeight="1">
      <c r="A36" s="29" t="s">
        <v>56</v>
      </c>
      <c r="B36" s="30" t="s">
        <v>57</v>
      </c>
      <c r="C36" s="31">
        <v>10</v>
      </c>
      <c r="D36" s="1132">
        <v>0</v>
      </c>
      <c r="E36" s="1132">
        <v>0</v>
      </c>
      <c r="F36" s="1132">
        <f t="shared" ref="F36:F39" si="8">D36-E36</f>
        <v>0</v>
      </c>
      <c r="G36" s="1132">
        <v>0</v>
      </c>
    </row>
    <row r="37" spans="1:9" ht="24.95" customHeight="1">
      <c r="A37" s="29" t="s">
        <v>58</v>
      </c>
      <c r="B37" s="30" t="s">
        <v>59</v>
      </c>
      <c r="C37" s="31">
        <v>11</v>
      </c>
      <c r="D37" s="1132">
        <v>125136</v>
      </c>
      <c r="E37" s="1132">
        <v>0</v>
      </c>
      <c r="F37" s="1132">
        <f t="shared" si="8"/>
        <v>125136</v>
      </c>
      <c r="G37" s="1132">
        <v>0</v>
      </c>
    </row>
    <row r="38" spans="1:9" ht="24.95" customHeight="1">
      <c r="A38" s="26" t="s">
        <v>60</v>
      </c>
      <c r="B38" s="37" t="s">
        <v>61</v>
      </c>
      <c r="C38" s="38" t="s">
        <v>7</v>
      </c>
      <c r="D38" s="1134">
        <f>SUM(D35:D37)</f>
        <v>125136</v>
      </c>
      <c r="E38" s="1134">
        <f t="shared" ref="E38:G38" si="9">SUM(E35:E37)</f>
        <v>0</v>
      </c>
      <c r="F38" s="1134">
        <f t="shared" si="9"/>
        <v>125136</v>
      </c>
      <c r="G38" s="1134">
        <f t="shared" si="9"/>
        <v>0</v>
      </c>
    </row>
    <row r="39" spans="1:9" ht="24.95" customHeight="1">
      <c r="A39" s="29" t="s">
        <v>62</v>
      </c>
      <c r="B39" s="30" t="s">
        <v>66</v>
      </c>
      <c r="C39" s="31">
        <v>12</v>
      </c>
      <c r="D39" s="1132">
        <v>0</v>
      </c>
      <c r="E39" s="1132">
        <v>0</v>
      </c>
      <c r="F39" s="1132">
        <f t="shared" si="8"/>
        <v>0</v>
      </c>
      <c r="G39" s="1132">
        <v>0</v>
      </c>
    </row>
    <row r="40" spans="1:9" ht="24.95" customHeight="1" thickBot="1">
      <c r="A40" s="39" t="s">
        <v>63</v>
      </c>
      <c r="B40" s="40" t="s">
        <v>64</v>
      </c>
      <c r="C40" s="41" t="s">
        <v>7</v>
      </c>
      <c r="D40" s="1136">
        <f>SUM(D27+D34+D38+D39)</f>
        <v>80366803</v>
      </c>
      <c r="E40" s="1136">
        <f t="shared" ref="E40:G40" si="10">SUM(E27+E34+E38+E39)</f>
        <v>1387058</v>
      </c>
      <c r="F40" s="1136">
        <f t="shared" si="10"/>
        <v>78979745</v>
      </c>
      <c r="G40" s="1136">
        <f t="shared" si="10"/>
        <v>56143581</v>
      </c>
      <c r="I40" s="516"/>
    </row>
    <row r="41" spans="1:9" ht="24.95" customHeight="1">
      <c r="A41" s="1"/>
      <c r="F41" s="749"/>
      <c r="G41" s="517"/>
    </row>
    <row r="42" spans="1:9">
      <c r="E42" s="750"/>
      <c r="F42" s="516"/>
    </row>
    <row r="43" spans="1:9">
      <c r="F43" s="516"/>
    </row>
    <row r="44" spans="1:9">
      <c r="F44" s="516"/>
    </row>
    <row r="45" spans="1:9">
      <c r="F45" s="516"/>
    </row>
    <row r="46" spans="1:9">
      <c r="F46" s="516"/>
    </row>
  </sheetData>
  <mergeCells count="21">
    <mergeCell ref="C7:C9"/>
    <mergeCell ref="D7:F8"/>
    <mergeCell ref="A6:G6"/>
    <mergeCell ref="A7:A9"/>
    <mergeCell ref="G7:G8"/>
    <mergeCell ref="A5:D5"/>
    <mergeCell ref="E5:G5"/>
    <mergeCell ref="A4:B4"/>
    <mergeCell ref="E4:G4"/>
    <mergeCell ref="G18:G19"/>
    <mergeCell ref="A16:A17"/>
    <mergeCell ref="D16:D17"/>
    <mergeCell ref="E16:E17"/>
    <mergeCell ref="F16:F17"/>
    <mergeCell ref="G16:G17"/>
    <mergeCell ref="A18:A19"/>
    <mergeCell ref="C18:C19"/>
    <mergeCell ref="D18:D19"/>
    <mergeCell ref="E18:E19"/>
    <mergeCell ref="F18:F19"/>
    <mergeCell ref="B7:B9"/>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2"/>
  <sheetViews>
    <sheetView showZeros="0" topLeftCell="A35" workbookViewId="0">
      <selection activeCell="D6" sqref="D6:E6"/>
    </sheetView>
  </sheetViews>
  <sheetFormatPr baseColWidth="10" defaultRowHeight="15"/>
  <cols>
    <col min="1" max="1" width="4.85546875" customWidth="1"/>
    <col min="2" max="2" width="64.5703125" customWidth="1"/>
    <col min="3" max="3" width="5.85546875" customWidth="1"/>
    <col min="4" max="4" width="16" customWidth="1"/>
    <col min="5" max="5" width="15.85546875" customWidth="1"/>
    <col min="6" max="7" width="13.7109375" bestFit="1" customWidth="1"/>
  </cols>
  <sheetData>
    <row r="2" spans="1:7">
      <c r="A2" s="3"/>
      <c r="B2" s="2"/>
      <c r="C2" s="2"/>
      <c r="D2" s="2"/>
      <c r="E2" s="2"/>
    </row>
    <row r="3" spans="1:7" ht="18">
      <c r="A3" s="7"/>
      <c r="B3" s="2"/>
      <c r="C3" s="2"/>
      <c r="D3" s="2"/>
      <c r="E3" s="2"/>
    </row>
    <row r="4" spans="1:7" ht="18">
      <c r="A4" s="7"/>
      <c r="B4" s="2"/>
      <c r="C4" s="2"/>
      <c r="D4" s="2"/>
      <c r="E4" s="2"/>
    </row>
    <row r="5" spans="1:7" ht="6" customHeight="1">
      <c r="A5" s="3"/>
      <c r="B5" s="2"/>
      <c r="C5" s="2"/>
      <c r="D5" s="2"/>
      <c r="E5" s="2"/>
    </row>
    <row r="6" spans="1:7">
      <c r="A6" s="1338" t="str">
        <f>_soNom</f>
        <v>Cecotra</v>
      </c>
      <c r="B6" s="1338"/>
      <c r="C6" s="2"/>
      <c r="D6" s="1342" t="str">
        <f>_ExerClos</f>
        <v>Exercice clos le 31/12/2025</v>
      </c>
      <c r="E6" s="1342"/>
      <c r="F6" s="2"/>
      <c r="G6" s="2"/>
    </row>
    <row r="7" spans="1:7">
      <c r="A7" s="1340" t="str">
        <f>_soId</f>
        <v> 3201810353457</v>
      </c>
      <c r="B7" s="1340"/>
      <c r="C7" s="2"/>
      <c r="D7" s="1341" t="str">
        <f>_Duree</f>
        <v>Durée (en mois) 12</v>
      </c>
      <c r="E7" s="1341"/>
      <c r="F7" s="2"/>
      <c r="G7" s="2"/>
    </row>
    <row r="8" spans="1:7" ht="24.95" customHeight="1" thickBot="1">
      <c r="A8" s="1354" t="s">
        <v>1661</v>
      </c>
      <c r="B8" s="1354"/>
      <c r="C8" s="1354"/>
      <c r="D8" s="1354"/>
      <c r="E8" s="1354"/>
    </row>
    <row r="9" spans="1:7" ht="18.75" customHeight="1">
      <c r="A9" s="1346" t="s">
        <v>68</v>
      </c>
      <c r="B9" s="1346" t="s">
        <v>69</v>
      </c>
      <c r="C9" s="1346" t="s">
        <v>2</v>
      </c>
      <c r="D9" s="1357" t="str">
        <f>_ExerFin</f>
        <v xml:space="preserve"> 31/12/2025</v>
      </c>
      <c r="E9" s="1357" t="str">
        <f>_ExerFin1</f>
        <v xml:space="preserve"> 31/12/2024</v>
      </c>
    </row>
    <row r="10" spans="1:7" ht="18" customHeight="1">
      <c r="A10" s="1347"/>
      <c r="B10" s="1347"/>
      <c r="C10" s="1347"/>
      <c r="D10" s="1358"/>
      <c r="E10" s="1358"/>
    </row>
    <row r="11" spans="1:7" ht="19.5" customHeight="1">
      <c r="A11" s="1347"/>
      <c r="B11" s="1347"/>
      <c r="C11" s="1347"/>
      <c r="D11" s="12" t="s">
        <v>4</v>
      </c>
      <c r="E11" s="12" t="s">
        <v>4</v>
      </c>
    </row>
    <row r="12" spans="1:7" ht="24.95" customHeight="1">
      <c r="A12" s="14" t="s">
        <v>70</v>
      </c>
      <c r="B12" s="13" t="s">
        <v>71</v>
      </c>
      <c r="C12" s="14">
        <v>13</v>
      </c>
      <c r="D12" s="1137">
        <v>1000000</v>
      </c>
      <c r="E12" s="1137">
        <v>1000000</v>
      </c>
    </row>
    <row r="13" spans="1:7" ht="24.95" customHeight="1">
      <c r="A13" s="14" t="s">
        <v>72</v>
      </c>
      <c r="B13" s="13" t="s">
        <v>73</v>
      </c>
      <c r="C13" s="14">
        <v>13</v>
      </c>
      <c r="D13" s="1137">
        <v>0</v>
      </c>
      <c r="E13" s="1137">
        <v>0</v>
      </c>
    </row>
    <row r="14" spans="1:7" ht="24.95" customHeight="1">
      <c r="A14" s="16" t="s">
        <v>74</v>
      </c>
      <c r="B14" s="15" t="s">
        <v>75</v>
      </c>
      <c r="C14" s="14">
        <v>14</v>
      </c>
      <c r="D14" s="1138">
        <v>0</v>
      </c>
      <c r="E14" s="1138">
        <v>0</v>
      </c>
    </row>
    <row r="15" spans="1:7" ht="24.95" customHeight="1">
      <c r="A15" s="16" t="s">
        <v>76</v>
      </c>
      <c r="B15" s="15" t="s">
        <v>77</v>
      </c>
      <c r="C15" s="14" t="s">
        <v>78</v>
      </c>
      <c r="D15" s="1138">
        <v>0</v>
      </c>
      <c r="E15" s="1138">
        <v>0</v>
      </c>
    </row>
    <row r="16" spans="1:7" ht="24.95" customHeight="1">
      <c r="A16" s="16" t="s">
        <v>79</v>
      </c>
      <c r="B16" s="15" t="s">
        <v>80</v>
      </c>
      <c r="C16" s="14">
        <v>14</v>
      </c>
      <c r="D16" s="1138">
        <v>0</v>
      </c>
      <c r="E16" s="1138">
        <v>0</v>
      </c>
    </row>
    <row r="17" spans="1:6" ht="24.95" customHeight="1">
      <c r="A17" s="14" t="s">
        <v>81</v>
      </c>
      <c r="B17" s="13" t="s">
        <v>82</v>
      </c>
      <c r="C17" s="14">
        <v>14</v>
      </c>
      <c r="D17" s="1137">
        <v>0</v>
      </c>
      <c r="E17" s="1137">
        <v>0</v>
      </c>
    </row>
    <row r="18" spans="1:6" ht="24.95" customHeight="1">
      <c r="A18" s="14" t="s">
        <v>83</v>
      </c>
      <c r="B18" s="13" t="s">
        <v>84</v>
      </c>
      <c r="C18" s="14">
        <v>14</v>
      </c>
      <c r="D18" s="1137">
        <v>29907501</v>
      </c>
      <c r="E18" s="1137">
        <v>29907501</v>
      </c>
    </row>
    <row r="19" spans="1:6" ht="24.95" customHeight="1">
      <c r="A19" s="14" t="s">
        <v>85</v>
      </c>
      <c r="B19" s="13" t="s">
        <v>86</v>
      </c>
      <c r="C19" s="14" t="s">
        <v>0</v>
      </c>
      <c r="D19" s="1137">
        <v>16428637</v>
      </c>
      <c r="E19" s="1137">
        <v>418023</v>
      </c>
    </row>
    <row r="20" spans="1:6" ht="24.95" customHeight="1">
      <c r="A20" s="14" t="s">
        <v>87</v>
      </c>
      <c r="B20" s="13" t="s">
        <v>88</v>
      </c>
      <c r="C20" s="14">
        <v>15</v>
      </c>
      <c r="D20" s="1137">
        <v>0</v>
      </c>
      <c r="E20" s="1137">
        <v>0</v>
      </c>
    </row>
    <row r="21" spans="1:6" ht="24.95" customHeight="1">
      <c r="A21" s="14" t="s">
        <v>89</v>
      </c>
      <c r="B21" s="13" t="s">
        <v>90</v>
      </c>
      <c r="C21" s="14">
        <v>15</v>
      </c>
      <c r="D21" s="1137">
        <v>0</v>
      </c>
      <c r="E21" s="1137">
        <v>0</v>
      </c>
    </row>
    <row r="22" spans="1:6" ht="24.95" customHeight="1">
      <c r="A22" s="17" t="s">
        <v>91</v>
      </c>
      <c r="B22" s="18" t="s">
        <v>92</v>
      </c>
      <c r="C22" s="19" t="s">
        <v>7</v>
      </c>
      <c r="D22" s="1139">
        <f>SUM(D12:D21)</f>
        <v>47336138</v>
      </c>
      <c r="E22" s="1139">
        <f>SUM(E12:E21)</f>
        <v>31325524</v>
      </c>
    </row>
    <row r="23" spans="1:6" ht="24.95" customHeight="1">
      <c r="A23" s="14" t="s">
        <v>93</v>
      </c>
      <c r="B23" s="13" t="s">
        <v>94</v>
      </c>
      <c r="C23" s="14">
        <v>16</v>
      </c>
      <c r="D23" s="1137">
        <v>0</v>
      </c>
      <c r="E23" s="1137">
        <v>0</v>
      </c>
    </row>
    <row r="24" spans="1:6" ht="24.95" customHeight="1">
      <c r="A24" s="14" t="s">
        <v>95</v>
      </c>
      <c r="B24" s="13" t="s">
        <v>96</v>
      </c>
      <c r="C24" s="14">
        <v>16</v>
      </c>
      <c r="D24" s="1137">
        <v>0</v>
      </c>
      <c r="E24" s="1137">
        <v>0</v>
      </c>
    </row>
    <row r="25" spans="1:6" ht="24.95" customHeight="1">
      <c r="A25" s="14" t="s">
        <v>97</v>
      </c>
      <c r="B25" s="13" t="s">
        <v>98</v>
      </c>
      <c r="C25" s="14">
        <v>16</v>
      </c>
      <c r="D25" s="1137">
        <v>0</v>
      </c>
      <c r="E25" s="1137">
        <v>0</v>
      </c>
    </row>
    <row r="26" spans="1:6" ht="24.95" customHeight="1">
      <c r="A26" s="17" t="s">
        <v>99</v>
      </c>
      <c r="B26" s="18" t="s">
        <v>100</v>
      </c>
      <c r="C26" s="19" t="s">
        <v>7</v>
      </c>
      <c r="D26" s="1140">
        <f>SUM(D23:D25)</f>
        <v>0</v>
      </c>
      <c r="E26" s="1140">
        <f>SUM(E23:E25)</f>
        <v>0</v>
      </c>
    </row>
    <row r="27" spans="1:6" ht="24.95" customHeight="1">
      <c r="A27" s="17" t="s">
        <v>101</v>
      </c>
      <c r="B27" s="20" t="s">
        <v>102</v>
      </c>
      <c r="C27" s="21" t="s">
        <v>7</v>
      </c>
      <c r="D27" s="1141">
        <f>D22+D26</f>
        <v>47336138</v>
      </c>
      <c r="E27" s="1141">
        <f>E22+E26</f>
        <v>31325524</v>
      </c>
    </row>
    <row r="28" spans="1:6" ht="24.95" customHeight="1">
      <c r="A28" s="14" t="s">
        <v>103</v>
      </c>
      <c r="B28" s="13" t="s">
        <v>104</v>
      </c>
      <c r="C28" s="14">
        <v>5</v>
      </c>
      <c r="D28" s="1137">
        <v>0</v>
      </c>
      <c r="E28" s="1137">
        <v>0</v>
      </c>
    </row>
    <row r="29" spans="1:6" ht="24.95" customHeight="1">
      <c r="A29" s="14" t="s">
        <v>105</v>
      </c>
      <c r="B29" s="13" t="s">
        <v>106</v>
      </c>
      <c r="C29" s="14">
        <v>7</v>
      </c>
      <c r="D29" s="1137">
        <v>0</v>
      </c>
      <c r="E29" s="1137">
        <v>0</v>
      </c>
    </row>
    <row r="30" spans="1:6" s="794" customFormat="1" ht="24.95" customHeight="1">
      <c r="A30" s="792" t="s">
        <v>107</v>
      </c>
      <c r="B30" s="793" t="s">
        <v>108</v>
      </c>
      <c r="C30" s="792">
        <v>17</v>
      </c>
      <c r="D30" s="1142">
        <v>22165344</v>
      </c>
      <c r="E30" s="1142">
        <v>22165344</v>
      </c>
    </row>
    <row r="31" spans="1:6" ht="24.95" customHeight="1">
      <c r="A31" s="14" t="s">
        <v>109</v>
      </c>
      <c r="B31" s="13" t="s">
        <v>110</v>
      </c>
      <c r="C31" s="14">
        <v>18</v>
      </c>
      <c r="D31" s="1137">
        <v>7962190</v>
      </c>
      <c r="E31" s="1137">
        <v>1100590</v>
      </c>
      <c r="F31" s="746"/>
    </row>
    <row r="32" spans="1:6" ht="24.95" customHeight="1">
      <c r="A32" s="14" t="s">
        <v>111</v>
      </c>
      <c r="B32" s="13" t="s">
        <v>112</v>
      </c>
      <c r="C32" s="14">
        <v>19</v>
      </c>
      <c r="D32" s="1137">
        <v>1516073</v>
      </c>
      <c r="E32" s="1137">
        <v>1516073</v>
      </c>
    </row>
    <row r="33" spans="1:7" ht="24.95" customHeight="1">
      <c r="A33" s="14" t="s">
        <v>113</v>
      </c>
      <c r="B33" s="13" t="s">
        <v>114</v>
      </c>
      <c r="C33" s="14">
        <v>19</v>
      </c>
      <c r="D33" s="1137">
        <v>0</v>
      </c>
      <c r="E33" s="1137">
        <v>0</v>
      </c>
      <c r="F33" s="746"/>
      <c r="G33" s="746"/>
    </row>
    <row r="34" spans="1:7" ht="24.95" customHeight="1">
      <c r="A34" s="17" t="s">
        <v>115</v>
      </c>
      <c r="B34" s="20" t="s">
        <v>116</v>
      </c>
      <c r="C34" s="22" t="s">
        <v>7</v>
      </c>
      <c r="D34" s="1141">
        <f>SUM(D28:D33)</f>
        <v>31643607</v>
      </c>
      <c r="E34" s="1141">
        <f>SUM(E28:E33)</f>
        <v>24782007</v>
      </c>
      <c r="F34" s="746"/>
      <c r="G34" s="746"/>
    </row>
    <row r="35" spans="1:7" ht="24.95" customHeight="1">
      <c r="A35" s="14" t="s">
        <v>117</v>
      </c>
      <c r="B35" s="13" t="s">
        <v>118</v>
      </c>
      <c r="C35" s="14">
        <v>20</v>
      </c>
      <c r="D35" s="1137">
        <v>0</v>
      </c>
      <c r="E35" s="1137">
        <v>0</v>
      </c>
      <c r="G35" s="746"/>
    </row>
    <row r="36" spans="1:7" ht="24.95" customHeight="1">
      <c r="A36" s="14" t="s">
        <v>119</v>
      </c>
      <c r="B36" s="13" t="s">
        <v>120</v>
      </c>
      <c r="C36" s="14">
        <v>20</v>
      </c>
      <c r="D36" s="1137">
        <v>0</v>
      </c>
      <c r="E36" s="1137">
        <v>36050</v>
      </c>
    </row>
    <row r="37" spans="1:7" ht="24.95" customHeight="1">
      <c r="A37" s="17" t="s">
        <v>121</v>
      </c>
      <c r="B37" s="20" t="s">
        <v>122</v>
      </c>
      <c r="C37" s="21" t="s">
        <v>7</v>
      </c>
      <c r="D37" s="1143">
        <f>+D35+D36</f>
        <v>0</v>
      </c>
      <c r="E37" s="1143">
        <f>E35+E36</f>
        <v>36050</v>
      </c>
    </row>
    <row r="38" spans="1:7" ht="24.95" customHeight="1">
      <c r="A38" s="14" t="s">
        <v>123</v>
      </c>
      <c r="B38" s="13" t="s">
        <v>125</v>
      </c>
      <c r="C38" s="14">
        <v>12</v>
      </c>
      <c r="D38" s="1137">
        <v>0</v>
      </c>
      <c r="E38" s="1137">
        <v>0</v>
      </c>
    </row>
    <row r="39" spans="1:7" ht="24.95" customHeight="1" thickBot="1">
      <c r="A39" s="901" t="s">
        <v>124</v>
      </c>
      <c r="B39" s="23" t="s">
        <v>64</v>
      </c>
      <c r="C39" s="24" t="s">
        <v>7</v>
      </c>
      <c r="D39" s="1144">
        <f>SUM(D27+D34+D37+D38)</f>
        <v>78979745</v>
      </c>
      <c r="E39" s="1144">
        <f>SUM(E27+E34+E37+E38)</f>
        <v>56143581</v>
      </c>
    </row>
    <row r="40" spans="1:7" ht="24.95" customHeight="1">
      <c r="D40" s="746"/>
      <c r="E40" s="746"/>
    </row>
    <row r="42" spans="1:7">
      <c r="D42" s="746"/>
    </row>
  </sheetData>
  <mergeCells count="10">
    <mergeCell ref="A9:A11"/>
    <mergeCell ref="B9:B11"/>
    <mergeCell ref="C9:C11"/>
    <mergeCell ref="A8:E8"/>
    <mergeCell ref="A6:B6"/>
    <mergeCell ref="A7:B7"/>
    <mergeCell ref="D6:E6"/>
    <mergeCell ref="D7:E7"/>
    <mergeCell ref="D9:D10"/>
    <mergeCell ref="E9:E10"/>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showZeros="0" topLeftCell="A37" workbookViewId="0">
      <selection activeCell="I45" sqref="I45"/>
    </sheetView>
  </sheetViews>
  <sheetFormatPr baseColWidth="10" defaultRowHeight="15"/>
  <cols>
    <col min="1" max="1" width="4.42578125" customWidth="1"/>
    <col min="2" max="2" width="55.5703125" customWidth="1"/>
    <col min="3" max="3" width="4.28515625" style="8" customWidth="1"/>
    <col min="4" max="4" width="7.85546875" style="8" customWidth="1"/>
    <col min="5" max="5" width="15.85546875" style="907" customWidth="1"/>
    <col min="6" max="6" width="17.85546875" style="907" customWidth="1"/>
  </cols>
  <sheetData>
    <row r="1" spans="1:7" ht="18">
      <c r="A1" s="7"/>
      <c r="B1" s="2"/>
      <c r="C1" s="5"/>
      <c r="D1" s="5"/>
      <c r="E1" s="906"/>
    </row>
    <row r="2" spans="1:7" ht="18">
      <c r="A2" s="7"/>
      <c r="B2" s="2"/>
      <c r="C2" s="5"/>
      <c r="D2" s="5"/>
      <c r="E2" s="906"/>
    </row>
    <row r="3" spans="1:7">
      <c r="A3" s="1338" t="str">
        <f>_soNom</f>
        <v>Cecotra</v>
      </c>
      <c r="B3" s="1338"/>
      <c r="C3" s="2"/>
      <c r="D3" s="1342" t="str">
        <f>_ExerClos</f>
        <v>Exercice clos le 31/12/2025</v>
      </c>
      <c r="E3" s="1342"/>
      <c r="F3" s="1342"/>
      <c r="G3" s="2"/>
    </row>
    <row r="4" spans="1:7">
      <c r="A4" s="1340" t="str">
        <f>_soId</f>
        <v> 3201810353457</v>
      </c>
      <c r="B4" s="1340"/>
      <c r="C4" s="2"/>
      <c r="D4" s="1341" t="str">
        <f>_Duree</f>
        <v>Durée (en mois) 12</v>
      </c>
      <c r="E4" s="1341"/>
      <c r="F4" s="1341"/>
      <c r="G4" s="2"/>
    </row>
    <row r="5" spans="1:7" ht="15.75" thickBot="1">
      <c r="A5" s="1361" t="s">
        <v>1671</v>
      </c>
      <c r="B5" s="1361"/>
      <c r="C5" s="1361"/>
      <c r="D5" s="1361"/>
      <c r="E5" s="1361"/>
      <c r="F5" s="1361"/>
    </row>
    <row r="6" spans="1:7" s="2" customFormat="1" ht="10.5" customHeight="1">
      <c r="A6" s="1362" t="s">
        <v>68</v>
      </c>
      <c r="B6" s="1362" t="s">
        <v>191</v>
      </c>
      <c r="C6" s="1364" t="s">
        <v>7</v>
      </c>
      <c r="D6" s="1362" t="s">
        <v>126</v>
      </c>
      <c r="E6" s="1359" t="str">
        <f>_ExerFin</f>
        <v xml:space="preserve"> 31/12/2025</v>
      </c>
      <c r="F6" s="1359" t="str">
        <f>_ExerFin1</f>
        <v xml:space="preserve"> 31/12/2024</v>
      </c>
    </row>
    <row r="7" spans="1:7" s="2" customFormat="1" ht="16.5" customHeight="1">
      <c r="A7" s="1363"/>
      <c r="B7" s="1363"/>
      <c r="C7" s="1365"/>
      <c r="D7" s="1363"/>
      <c r="E7" s="1360"/>
      <c r="F7" s="1360"/>
    </row>
    <row r="8" spans="1:7" s="2" customFormat="1" ht="15.75" customHeight="1">
      <c r="A8" s="1363"/>
      <c r="B8" s="1363"/>
      <c r="C8" s="1365"/>
      <c r="D8" s="1363"/>
      <c r="E8" s="908" t="s">
        <v>4</v>
      </c>
      <c r="F8" s="908" t="s">
        <v>4</v>
      </c>
    </row>
    <row r="9" spans="1:7" s="2" customFormat="1" ht="18.95" customHeight="1">
      <c r="A9" s="32" t="s">
        <v>127</v>
      </c>
      <c r="B9" s="49" t="s">
        <v>1650</v>
      </c>
      <c r="C9" s="44" t="s">
        <v>128</v>
      </c>
      <c r="D9" s="43">
        <v>21</v>
      </c>
      <c r="E9" s="1138">
        <v>983417641</v>
      </c>
      <c r="F9" s="1792">
        <v>105559492</v>
      </c>
    </row>
    <row r="10" spans="1:7" s="2" customFormat="1" ht="18.95" customHeight="1">
      <c r="A10" s="32" t="s">
        <v>129</v>
      </c>
      <c r="B10" s="49" t="s">
        <v>194</v>
      </c>
      <c r="C10" s="44" t="s">
        <v>130</v>
      </c>
      <c r="D10" s="43">
        <v>22</v>
      </c>
      <c r="E10" s="1138">
        <v>955960941</v>
      </c>
      <c r="F10" s="1792">
        <v>98853250</v>
      </c>
    </row>
    <row r="11" spans="1:7" s="2" customFormat="1" ht="18.95" customHeight="1">
      <c r="A11" s="32" t="s">
        <v>131</v>
      </c>
      <c r="B11" s="49" t="s">
        <v>132</v>
      </c>
      <c r="C11" s="44" t="s">
        <v>133</v>
      </c>
      <c r="D11" s="43">
        <v>6</v>
      </c>
      <c r="E11" s="1138">
        <v>0</v>
      </c>
      <c r="F11" s="1138">
        <v>0</v>
      </c>
    </row>
    <row r="12" spans="1:7" s="2" customFormat="1" ht="19.5" customHeight="1">
      <c r="A12" s="56" t="s">
        <v>134</v>
      </c>
      <c r="B12" s="50" t="s">
        <v>135</v>
      </c>
      <c r="C12" s="45" t="s">
        <v>7</v>
      </c>
      <c r="D12" s="58"/>
      <c r="E12" s="1141">
        <f>E9-E10-E11</f>
        <v>27456700</v>
      </c>
      <c r="F12" s="1141">
        <f>F9-F10-F11</f>
        <v>6706242</v>
      </c>
    </row>
    <row r="13" spans="1:7" s="2" customFormat="1" ht="18.95" customHeight="1">
      <c r="A13" s="32" t="s">
        <v>136</v>
      </c>
      <c r="B13" s="49" t="s">
        <v>1638</v>
      </c>
      <c r="C13" s="44" t="s">
        <v>128</v>
      </c>
      <c r="D13" s="43">
        <v>21</v>
      </c>
      <c r="E13" s="1138">
        <v>0</v>
      </c>
      <c r="F13" s="1138">
        <v>0</v>
      </c>
    </row>
    <row r="14" spans="1:7" s="2" customFormat="1" ht="18.95" customHeight="1">
      <c r="A14" s="32" t="s">
        <v>137</v>
      </c>
      <c r="B14" s="49" t="s">
        <v>1639</v>
      </c>
      <c r="C14" s="44" t="s">
        <v>128</v>
      </c>
      <c r="D14" s="43">
        <v>21</v>
      </c>
      <c r="E14" s="1138">
        <v>0</v>
      </c>
      <c r="F14" s="1138">
        <v>0</v>
      </c>
    </row>
    <row r="15" spans="1:7" s="2" customFormat="1" ht="18.95" customHeight="1">
      <c r="A15" s="32" t="s">
        <v>138</v>
      </c>
      <c r="B15" s="49" t="s">
        <v>1640</v>
      </c>
      <c r="C15" s="44" t="s">
        <v>128</v>
      </c>
      <c r="D15" s="43">
        <v>21</v>
      </c>
      <c r="E15" s="1138">
        <v>0</v>
      </c>
      <c r="F15" s="1138">
        <v>0</v>
      </c>
    </row>
    <row r="16" spans="1:7" s="2" customFormat="1" ht="19.5" customHeight="1">
      <c r="A16" s="56" t="s">
        <v>139</v>
      </c>
      <c r="B16" s="51" t="s">
        <v>216</v>
      </c>
      <c r="C16" s="45" t="s">
        <v>7</v>
      </c>
      <c r="D16" s="58"/>
      <c r="E16" s="1141">
        <f>E9+E13+E14+E15</f>
        <v>983417641</v>
      </c>
      <c r="F16" s="1141">
        <f>F9+F13+F14+F15</f>
        <v>105559492</v>
      </c>
    </row>
    <row r="17" spans="1:6" s="2" customFormat="1" ht="18.95" customHeight="1">
      <c r="A17" s="32" t="s">
        <v>140</v>
      </c>
      <c r="B17" s="49" t="s">
        <v>1637</v>
      </c>
      <c r="C17" s="44" t="s">
        <v>133</v>
      </c>
      <c r="D17" s="43">
        <v>6</v>
      </c>
      <c r="E17" s="1138">
        <v>0</v>
      </c>
      <c r="F17" s="1138">
        <v>0</v>
      </c>
    </row>
    <row r="18" spans="1:6" s="2" customFormat="1" ht="18.95" customHeight="1">
      <c r="A18" s="32" t="s">
        <v>141</v>
      </c>
      <c r="B18" s="49" t="s">
        <v>195</v>
      </c>
      <c r="C18" s="44" t="s">
        <v>0</v>
      </c>
      <c r="D18" s="43">
        <v>21</v>
      </c>
      <c r="E18" s="1138">
        <v>0</v>
      </c>
      <c r="F18" s="1145">
        <v>0</v>
      </c>
    </row>
    <row r="19" spans="1:6" s="2" customFormat="1" ht="18.95" customHeight="1">
      <c r="A19" s="32" t="s">
        <v>142</v>
      </c>
      <c r="B19" s="49" t="s">
        <v>196</v>
      </c>
      <c r="C19" s="44" t="s">
        <v>0</v>
      </c>
      <c r="D19" s="43">
        <v>21</v>
      </c>
      <c r="E19" s="1138">
        <v>0</v>
      </c>
      <c r="F19" s="1145">
        <v>0</v>
      </c>
    </row>
    <row r="20" spans="1:6" s="2" customFormat="1" ht="18.95" customHeight="1">
      <c r="A20" s="32" t="s">
        <v>143</v>
      </c>
      <c r="B20" s="49" t="s">
        <v>197</v>
      </c>
      <c r="C20" s="44" t="s">
        <v>128</v>
      </c>
      <c r="D20" s="43">
        <v>21</v>
      </c>
      <c r="E20" s="1138">
        <v>0</v>
      </c>
      <c r="F20" s="1138">
        <v>0</v>
      </c>
    </row>
    <row r="21" spans="1:6" s="2" customFormat="1" ht="18.95" customHeight="1">
      <c r="A21" s="32" t="s">
        <v>144</v>
      </c>
      <c r="B21" s="49" t="s">
        <v>145</v>
      </c>
      <c r="C21" s="44" t="s">
        <v>128</v>
      </c>
      <c r="D21" s="43">
        <v>12</v>
      </c>
      <c r="E21" s="1138">
        <v>0</v>
      </c>
      <c r="F21" s="1138">
        <v>0</v>
      </c>
    </row>
    <row r="22" spans="1:6" s="2" customFormat="1" ht="18.95" customHeight="1">
      <c r="A22" s="32" t="s">
        <v>146</v>
      </c>
      <c r="B22" s="49" t="s">
        <v>198</v>
      </c>
      <c r="C22" s="44" t="s">
        <v>147</v>
      </c>
      <c r="D22" s="43">
        <v>22</v>
      </c>
      <c r="E22" s="1138">
        <v>0</v>
      </c>
      <c r="F22" s="1138">
        <v>0</v>
      </c>
    </row>
    <row r="23" spans="1:6" s="2" customFormat="1" ht="18.95" customHeight="1">
      <c r="A23" s="32" t="s">
        <v>148</v>
      </c>
      <c r="B23" s="49" t="s">
        <v>199</v>
      </c>
      <c r="C23" s="44" t="s">
        <v>133</v>
      </c>
      <c r="D23" s="43">
        <v>6</v>
      </c>
      <c r="E23" s="1138">
        <v>0</v>
      </c>
      <c r="F23" s="1138">
        <v>0</v>
      </c>
    </row>
    <row r="24" spans="1:6" s="2" customFormat="1" ht="18.95" customHeight="1">
      <c r="A24" s="32" t="s">
        <v>149</v>
      </c>
      <c r="B24" s="49" t="s">
        <v>200</v>
      </c>
      <c r="C24" s="44" t="s">
        <v>147</v>
      </c>
      <c r="D24" s="43">
        <v>22</v>
      </c>
      <c r="E24" s="1138">
        <v>0</v>
      </c>
      <c r="F24" s="1138">
        <v>0</v>
      </c>
    </row>
    <row r="25" spans="1:6" s="2" customFormat="1" ht="18.95" customHeight="1">
      <c r="A25" s="32" t="s">
        <v>150</v>
      </c>
      <c r="B25" s="49" t="s">
        <v>201</v>
      </c>
      <c r="C25" s="44" t="s">
        <v>151</v>
      </c>
      <c r="D25" s="43">
        <v>6</v>
      </c>
      <c r="E25" s="1138">
        <v>0</v>
      </c>
      <c r="F25" s="1138">
        <v>0</v>
      </c>
    </row>
    <row r="26" spans="1:6" s="2" customFormat="1" ht="18.95" customHeight="1">
      <c r="A26" s="32" t="s">
        <v>152</v>
      </c>
      <c r="B26" s="49" t="s">
        <v>202</v>
      </c>
      <c r="C26" s="44" t="s">
        <v>147</v>
      </c>
      <c r="D26" s="43">
        <v>23</v>
      </c>
      <c r="E26" s="1138">
        <v>0</v>
      </c>
      <c r="F26" s="1138">
        <v>0</v>
      </c>
    </row>
    <row r="27" spans="1:6" s="2" customFormat="1" ht="18.95" customHeight="1">
      <c r="A27" s="32" t="s">
        <v>153</v>
      </c>
      <c r="B27" s="49" t="s">
        <v>203</v>
      </c>
      <c r="C27" s="44" t="s">
        <v>147</v>
      </c>
      <c r="D27" s="43">
        <v>24</v>
      </c>
      <c r="E27" s="1138">
        <v>746886</v>
      </c>
      <c r="F27" s="1793">
        <v>639000</v>
      </c>
    </row>
    <row r="28" spans="1:6" s="2" customFormat="1" ht="18.95" customHeight="1">
      <c r="A28" s="32" t="s">
        <v>154</v>
      </c>
      <c r="B28" s="49" t="s">
        <v>204</v>
      </c>
      <c r="C28" s="44" t="s">
        <v>147</v>
      </c>
      <c r="D28" s="43">
        <v>25</v>
      </c>
      <c r="E28" s="1138">
        <v>124800</v>
      </c>
      <c r="F28" s="1793">
        <v>124800</v>
      </c>
    </row>
    <row r="29" spans="1:6" s="2" customFormat="1" ht="18.95" customHeight="1">
      <c r="A29" s="32" t="s">
        <v>155</v>
      </c>
      <c r="B29" s="49" t="s">
        <v>205</v>
      </c>
      <c r="C29" s="44" t="s">
        <v>147</v>
      </c>
      <c r="D29" s="43">
        <v>26</v>
      </c>
      <c r="E29" s="1138">
        <v>0</v>
      </c>
      <c r="F29" s="1793">
        <v>62500</v>
      </c>
    </row>
    <row r="30" spans="1:6" s="2" customFormat="1" ht="19.5" customHeight="1">
      <c r="A30" s="56" t="s">
        <v>156</v>
      </c>
      <c r="B30" s="52" t="s">
        <v>157</v>
      </c>
      <c r="C30" s="45" t="s">
        <v>7</v>
      </c>
      <c r="D30" s="58"/>
      <c r="E30" s="1141">
        <f>E16-E10-E11+E17+E18+E19+E20+E21-E22-E23-E24-E25-E26-E27-E28-E29</f>
        <v>26585014</v>
      </c>
      <c r="F30" s="1141">
        <f>F16-F10-F11+F17+F18+F19+F20+F21-F22-F23-F24-F25-F26-F27-F28-F29</f>
        <v>5879942</v>
      </c>
    </row>
    <row r="31" spans="1:6" s="2" customFormat="1" ht="18.95" customHeight="1">
      <c r="A31" s="32" t="s">
        <v>158</v>
      </c>
      <c r="B31" s="49" t="s">
        <v>206</v>
      </c>
      <c r="C31" s="44" t="s">
        <v>147</v>
      </c>
      <c r="D31" s="43">
        <v>27</v>
      </c>
      <c r="E31" s="1138">
        <v>3712800</v>
      </c>
      <c r="F31" s="1794">
        <v>3712800</v>
      </c>
    </row>
    <row r="32" spans="1:6" s="2" customFormat="1" ht="19.5" customHeight="1">
      <c r="A32" s="56" t="s">
        <v>159</v>
      </c>
      <c r="B32" s="50" t="s">
        <v>214</v>
      </c>
      <c r="C32" s="45" t="s">
        <v>7</v>
      </c>
      <c r="D32" s="45">
        <v>28</v>
      </c>
      <c r="E32" s="1141">
        <f>E30-E31</f>
        <v>22872214</v>
      </c>
      <c r="F32" s="1141">
        <f>F30-F31</f>
        <v>2167142</v>
      </c>
    </row>
    <row r="33" spans="1:6" s="2" customFormat="1" ht="18.95" customHeight="1">
      <c r="A33" s="32" t="s">
        <v>160</v>
      </c>
      <c r="B33" s="49" t="s">
        <v>161</v>
      </c>
      <c r="C33" s="44" t="s">
        <v>128</v>
      </c>
      <c r="D33" s="43">
        <v>28</v>
      </c>
      <c r="E33" s="1138">
        <v>0</v>
      </c>
      <c r="F33" s="1138">
        <v>0</v>
      </c>
    </row>
    <row r="34" spans="1:6" s="2" customFormat="1" ht="18.95" customHeight="1">
      <c r="A34" s="32" t="s">
        <v>162</v>
      </c>
      <c r="B34" s="49" t="s">
        <v>163</v>
      </c>
      <c r="C34" s="44" t="s">
        <v>147</v>
      </c>
      <c r="D34" s="43" t="s">
        <v>164</v>
      </c>
      <c r="E34" s="1138">
        <v>0</v>
      </c>
      <c r="F34" s="1795">
        <v>693529</v>
      </c>
    </row>
    <row r="35" spans="1:6" s="2" customFormat="1" ht="19.5" customHeight="1">
      <c r="A35" s="56" t="s">
        <v>165</v>
      </c>
      <c r="B35" s="50" t="s">
        <v>166</v>
      </c>
      <c r="C35" s="45" t="s">
        <v>7</v>
      </c>
      <c r="D35" s="58"/>
      <c r="E35" s="1141">
        <f>E32+E33-E34</f>
        <v>22872214</v>
      </c>
      <c r="F35" s="1141">
        <f>F32+F33-F34</f>
        <v>1473613</v>
      </c>
    </row>
    <row r="36" spans="1:6" s="2" customFormat="1" ht="18.95" customHeight="1">
      <c r="A36" s="32" t="s">
        <v>167</v>
      </c>
      <c r="B36" s="49" t="s">
        <v>207</v>
      </c>
      <c r="C36" s="44" t="s">
        <v>128</v>
      </c>
      <c r="D36" s="43">
        <v>29</v>
      </c>
      <c r="E36" s="1138">
        <v>0</v>
      </c>
      <c r="F36" s="1138">
        <v>0</v>
      </c>
    </row>
    <row r="37" spans="1:6" s="2" customFormat="1" ht="18.95" customHeight="1">
      <c r="A37" s="32" t="s">
        <v>168</v>
      </c>
      <c r="B37" s="49" t="s">
        <v>169</v>
      </c>
      <c r="C37" s="44" t="s">
        <v>170</v>
      </c>
      <c r="D37" s="43">
        <v>28</v>
      </c>
      <c r="E37" s="1138">
        <v>0</v>
      </c>
      <c r="F37" s="1138">
        <v>0</v>
      </c>
    </row>
    <row r="38" spans="1:6" s="2" customFormat="1" ht="18.95" customHeight="1">
      <c r="A38" s="32" t="s">
        <v>171</v>
      </c>
      <c r="B38" s="49" t="s">
        <v>208</v>
      </c>
      <c r="C38" s="44" t="s">
        <v>170</v>
      </c>
      <c r="D38" s="43">
        <v>12</v>
      </c>
      <c r="E38" s="1138">
        <v>0</v>
      </c>
      <c r="F38" s="1138">
        <v>0</v>
      </c>
    </row>
    <row r="39" spans="1:6" s="2" customFormat="1" ht="18.95" customHeight="1">
      <c r="A39" s="32" t="s">
        <v>172</v>
      </c>
      <c r="B39" s="49" t="s">
        <v>209</v>
      </c>
      <c r="C39" s="44" t="s">
        <v>147</v>
      </c>
      <c r="D39" s="43">
        <v>29</v>
      </c>
      <c r="E39" s="1138">
        <v>0</v>
      </c>
      <c r="F39" s="1138">
        <v>0</v>
      </c>
    </row>
    <row r="40" spans="1:6" s="2" customFormat="1" ht="18.95" customHeight="1">
      <c r="A40" s="56" t="s">
        <v>173</v>
      </c>
      <c r="B40" s="49" t="s">
        <v>174</v>
      </c>
      <c r="C40" s="44" t="s">
        <v>147</v>
      </c>
      <c r="D40" s="44" t="s">
        <v>175</v>
      </c>
      <c r="E40" s="1145">
        <v>0</v>
      </c>
      <c r="F40" s="1145">
        <v>0</v>
      </c>
    </row>
    <row r="41" spans="1:6" s="2" customFormat="1" ht="19.5" customHeight="1">
      <c r="A41" s="56" t="s">
        <v>176</v>
      </c>
      <c r="B41" s="50" t="s">
        <v>177</v>
      </c>
      <c r="C41" s="45" t="s">
        <v>7</v>
      </c>
      <c r="D41" s="45" t="s">
        <v>7</v>
      </c>
      <c r="E41" s="1141">
        <f>E36+E37+E38-E39-E40</f>
        <v>0</v>
      </c>
      <c r="F41" s="1141">
        <f>F36+F37+F38-F39-F40</f>
        <v>0</v>
      </c>
    </row>
    <row r="42" spans="1:6" s="2" customFormat="1" ht="19.5" customHeight="1">
      <c r="A42" s="56" t="s">
        <v>178</v>
      </c>
      <c r="B42" s="53" t="s">
        <v>179</v>
      </c>
      <c r="C42" s="46" t="s">
        <v>7</v>
      </c>
      <c r="D42" s="46" t="s">
        <v>7</v>
      </c>
      <c r="E42" s="1146">
        <f>E35+E41</f>
        <v>22872214</v>
      </c>
      <c r="F42" s="1146">
        <f>F35+F41</f>
        <v>1473613</v>
      </c>
    </row>
    <row r="43" spans="1:6" s="2" customFormat="1" ht="18.95" customHeight="1">
      <c r="A43" s="32" t="s">
        <v>180</v>
      </c>
      <c r="B43" s="49" t="s">
        <v>210</v>
      </c>
      <c r="C43" s="44" t="s">
        <v>170</v>
      </c>
      <c r="D43" s="43" t="s">
        <v>181</v>
      </c>
      <c r="E43" s="1138">
        <v>0</v>
      </c>
      <c r="F43" s="1138">
        <v>0</v>
      </c>
    </row>
    <row r="44" spans="1:6" s="2" customFormat="1" ht="18.95" customHeight="1">
      <c r="A44" s="32" t="s">
        <v>182</v>
      </c>
      <c r="B44" s="49" t="s">
        <v>183</v>
      </c>
      <c r="C44" s="44" t="s">
        <v>170</v>
      </c>
      <c r="D44" s="43">
        <v>30</v>
      </c>
      <c r="E44" s="1138">
        <v>0</v>
      </c>
      <c r="F44" s="1138">
        <v>0</v>
      </c>
    </row>
    <row r="45" spans="1:6" s="2" customFormat="1" ht="18.95" customHeight="1">
      <c r="A45" s="32" t="s">
        <v>184</v>
      </c>
      <c r="B45" s="49" t="s">
        <v>211</v>
      </c>
      <c r="C45" s="44" t="s">
        <v>147</v>
      </c>
      <c r="D45" s="43" t="s">
        <v>181</v>
      </c>
      <c r="E45" s="1138">
        <v>0</v>
      </c>
      <c r="F45" s="1138">
        <v>0</v>
      </c>
    </row>
    <row r="46" spans="1:6" s="2" customFormat="1" ht="18.95" customHeight="1">
      <c r="A46" s="32" t="s">
        <v>185</v>
      </c>
      <c r="B46" s="49" t="s">
        <v>186</v>
      </c>
      <c r="C46" s="44" t="s">
        <v>147</v>
      </c>
      <c r="D46" s="43">
        <v>30</v>
      </c>
      <c r="E46" s="1138">
        <v>0</v>
      </c>
      <c r="F46" s="1138">
        <v>0</v>
      </c>
    </row>
    <row r="47" spans="1:6" s="2" customFormat="1" ht="19.5" customHeight="1">
      <c r="A47" s="56" t="s">
        <v>187</v>
      </c>
      <c r="B47" s="54" t="s">
        <v>192</v>
      </c>
      <c r="C47" s="46" t="s">
        <v>7</v>
      </c>
      <c r="D47" s="46" t="s">
        <v>7</v>
      </c>
      <c r="E47" s="1146">
        <f>E43+E44-E45-E46</f>
        <v>0</v>
      </c>
      <c r="F47" s="1146">
        <f>F43+F44-F45-F46</f>
        <v>0</v>
      </c>
    </row>
    <row r="48" spans="1:6" s="2" customFormat="1" ht="18.95" customHeight="1">
      <c r="A48" s="32" t="s">
        <v>188</v>
      </c>
      <c r="B48" s="49" t="s">
        <v>212</v>
      </c>
      <c r="C48" s="44" t="s">
        <v>147</v>
      </c>
      <c r="D48" s="43">
        <v>30</v>
      </c>
      <c r="E48" s="1138">
        <v>0</v>
      </c>
      <c r="F48" s="1138">
        <v>0</v>
      </c>
    </row>
    <row r="49" spans="1:6" s="2" customFormat="1" ht="18.95" customHeight="1">
      <c r="A49" s="32" t="s">
        <v>189</v>
      </c>
      <c r="B49" s="49" t="s">
        <v>213</v>
      </c>
      <c r="C49" s="44" t="s">
        <v>147</v>
      </c>
      <c r="D49" s="43" t="s">
        <v>7</v>
      </c>
      <c r="E49" s="1138">
        <v>6861600</v>
      </c>
      <c r="F49" s="1796">
        <v>1055590</v>
      </c>
    </row>
    <row r="50" spans="1:6" s="2" customFormat="1" ht="19.5" customHeight="1" thickBot="1">
      <c r="A50" s="57" t="s">
        <v>190</v>
      </c>
      <c r="B50" s="55" t="s">
        <v>215</v>
      </c>
      <c r="C50" s="47" t="s">
        <v>7</v>
      </c>
      <c r="D50" s="47" t="s">
        <v>7</v>
      </c>
      <c r="E50" s="1148">
        <f>E42+E47-E48-E49</f>
        <v>16010614</v>
      </c>
      <c r="F50" s="1147">
        <f>F42+F47-F48-F49</f>
        <v>418023</v>
      </c>
    </row>
    <row r="51" spans="1:6" s="2" customFormat="1" ht="19.5" customHeight="1">
      <c r="A51" s="42" t="s">
        <v>0</v>
      </c>
      <c r="C51" s="5"/>
      <c r="D51" s="5"/>
      <c r="E51" s="906"/>
      <c r="F51" s="906"/>
    </row>
    <row r="52" spans="1:6" s="2" customFormat="1" ht="19.5" customHeight="1">
      <c r="C52" s="5"/>
      <c r="D52" s="5"/>
      <c r="E52" s="906"/>
      <c r="F52" s="906"/>
    </row>
    <row r="53" spans="1:6" s="2" customFormat="1" ht="24.95" customHeight="1">
      <c r="C53" s="5"/>
      <c r="D53" s="5"/>
      <c r="E53" s="906"/>
      <c r="F53" s="906"/>
    </row>
    <row r="54" spans="1:6" s="2" customFormat="1" ht="24.95" customHeight="1">
      <c r="C54" s="5"/>
      <c r="D54" s="5"/>
      <c r="E54" s="906"/>
      <c r="F54" s="906"/>
    </row>
  </sheetData>
  <mergeCells count="11">
    <mergeCell ref="A3:B3"/>
    <mergeCell ref="A4:B4"/>
    <mergeCell ref="D3:F3"/>
    <mergeCell ref="D4:F4"/>
    <mergeCell ref="E6:E7"/>
    <mergeCell ref="F6:F7"/>
    <mergeCell ref="A5:F5"/>
    <mergeCell ref="A6:A8"/>
    <mergeCell ref="B6:B8"/>
    <mergeCell ref="C6:C8"/>
    <mergeCell ref="D6:D8"/>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63"/>
  <sheetViews>
    <sheetView showZeros="0" topLeftCell="A28" workbookViewId="0">
      <selection activeCell="K41" sqref="K41"/>
    </sheetView>
  </sheetViews>
  <sheetFormatPr baseColWidth="10" defaultRowHeight="15"/>
  <cols>
    <col min="1" max="1" width="4" customWidth="1"/>
    <col min="2" max="2" width="3.85546875" customWidth="1"/>
    <col min="3" max="3" width="53.5703125" customWidth="1"/>
    <col min="4" max="4" width="12.140625" customWidth="1"/>
    <col min="5" max="5" width="11.85546875" customWidth="1"/>
    <col min="6" max="6" width="5.5703125" customWidth="1"/>
    <col min="7" max="7" width="5.7109375" customWidth="1"/>
    <col min="8" max="8" width="15" customWidth="1"/>
    <col min="9" max="9" width="14.85546875" customWidth="1"/>
    <col min="10" max="10" width="12.7109375" bestFit="1" customWidth="1"/>
    <col min="11" max="11" width="13.7109375" bestFit="1" customWidth="1"/>
  </cols>
  <sheetData>
    <row r="2" spans="2:11">
      <c r="B2" s="3"/>
      <c r="C2" s="2"/>
      <c r="D2" s="2"/>
      <c r="E2" s="2"/>
      <c r="F2" s="2"/>
      <c r="G2" s="2"/>
      <c r="H2" s="2"/>
      <c r="I2" s="10"/>
    </row>
    <row r="3" spans="2:11" ht="18">
      <c r="B3" s="7"/>
      <c r="C3" s="2"/>
      <c r="D3" s="2"/>
      <c r="E3" s="2"/>
      <c r="F3" s="2"/>
      <c r="G3" s="2"/>
      <c r="H3" s="2"/>
      <c r="I3" s="10"/>
    </row>
    <row r="4" spans="2:11" ht="18">
      <c r="B4" s="7"/>
      <c r="C4" s="2"/>
      <c r="D4" s="2"/>
      <c r="E4" s="2"/>
      <c r="F4" s="2"/>
      <c r="G4" s="2"/>
      <c r="H4" s="2"/>
      <c r="I4" s="10"/>
    </row>
    <row r="5" spans="2:11">
      <c r="B5" s="1338" t="str">
        <f>_soNom</f>
        <v>Cecotra</v>
      </c>
      <c r="C5" s="1338"/>
      <c r="D5" s="1338"/>
      <c r="E5" s="2"/>
      <c r="F5" s="2"/>
      <c r="G5" s="1342" t="str">
        <f>_ExerClos</f>
        <v>Exercice clos le 31/12/2025</v>
      </c>
      <c r="H5" s="1342"/>
      <c r="I5" s="1342"/>
      <c r="J5" s="2"/>
    </row>
    <row r="6" spans="2:11">
      <c r="B6" s="1340" t="str">
        <f>_soId</f>
        <v> 3201810353457</v>
      </c>
      <c r="C6" s="1340"/>
      <c r="D6" s="1340"/>
      <c r="E6" s="2"/>
      <c r="F6" s="2"/>
      <c r="G6" s="1341" t="str">
        <f>_Duree</f>
        <v>Durée (en mois) 12</v>
      </c>
      <c r="H6" s="1341"/>
      <c r="I6" s="1341"/>
      <c r="J6" s="2"/>
    </row>
    <row r="7" spans="2:11">
      <c r="B7" s="59" t="s">
        <v>0</v>
      </c>
      <c r="C7" s="10"/>
      <c r="D7" s="10"/>
      <c r="E7" s="10"/>
      <c r="F7" s="10"/>
      <c r="G7" s="10"/>
      <c r="H7" s="10"/>
      <c r="I7" s="10"/>
    </row>
    <row r="8" spans="2:11" ht="15.75" thickBot="1">
      <c r="B8" s="1403" t="s">
        <v>1668</v>
      </c>
      <c r="C8" s="1403"/>
      <c r="D8" s="1403"/>
      <c r="E8" s="1403"/>
      <c r="F8" s="1403"/>
      <c r="G8" s="1403"/>
      <c r="H8" s="1403"/>
      <c r="I8" s="1403"/>
    </row>
    <row r="9" spans="2:11" ht="15.75" customHeight="1">
      <c r="B9" s="1410" t="s">
        <v>265</v>
      </c>
      <c r="C9" s="1368" t="s">
        <v>217</v>
      </c>
      <c r="D9" s="1369"/>
      <c r="E9" s="1369"/>
      <c r="F9" s="1370"/>
      <c r="G9" s="1412" t="s">
        <v>218</v>
      </c>
      <c r="H9" s="1418" t="str">
        <f>_ExerFin</f>
        <v xml:space="preserve"> 31/12/2025</v>
      </c>
      <c r="I9" s="1418" t="str">
        <f>_ExerFin1</f>
        <v xml:space="preserve"> 31/12/2024</v>
      </c>
    </row>
    <row r="10" spans="2:11" ht="16.5" customHeight="1">
      <c r="B10" s="1411"/>
      <c r="C10" s="1371"/>
      <c r="D10" s="1372"/>
      <c r="E10" s="1372"/>
      <c r="F10" s="1373"/>
      <c r="G10" s="1413"/>
      <c r="H10" s="1419"/>
      <c r="I10" s="1419"/>
    </row>
    <row r="11" spans="2:11" ht="17.25" customHeight="1">
      <c r="B11" s="1404" t="s">
        <v>219</v>
      </c>
      <c r="C11" s="1415" t="s">
        <v>266</v>
      </c>
      <c r="D11" s="1416"/>
      <c r="E11" s="1417"/>
      <c r="F11" s="1406" t="s">
        <v>220</v>
      </c>
      <c r="G11" s="1414"/>
      <c r="H11" s="1366">
        <v>-36050</v>
      </c>
      <c r="I11" s="1366">
        <v>144039</v>
      </c>
    </row>
    <row r="12" spans="2:11" ht="17.25" customHeight="1">
      <c r="B12" s="1404"/>
      <c r="C12" s="1398" t="s">
        <v>267</v>
      </c>
      <c r="D12" s="1399"/>
      <c r="E12" s="1400"/>
      <c r="F12" s="1406"/>
      <c r="G12" s="1414"/>
      <c r="H12" s="1367"/>
      <c r="I12" s="1367"/>
    </row>
    <row r="13" spans="2:11" ht="21.95" customHeight="1">
      <c r="B13" s="29"/>
      <c r="C13" s="1380" t="s">
        <v>221</v>
      </c>
      <c r="D13" s="1381"/>
      <c r="E13" s="1382"/>
      <c r="F13" s="60" t="s">
        <v>7</v>
      </c>
      <c r="G13" s="61" t="s">
        <v>7</v>
      </c>
      <c r="H13" s="909"/>
      <c r="I13" s="910"/>
    </row>
    <row r="14" spans="2:11" ht="21.95" customHeight="1">
      <c r="B14" s="29" t="s">
        <v>222</v>
      </c>
      <c r="C14" s="1386" t="s">
        <v>223</v>
      </c>
      <c r="D14" s="1387"/>
      <c r="E14" s="1388"/>
      <c r="F14" s="62" t="s">
        <v>7</v>
      </c>
      <c r="G14" s="62" t="s">
        <v>7</v>
      </c>
      <c r="H14" s="911">
        <v>16010614</v>
      </c>
      <c r="I14" s="911">
        <v>1531924</v>
      </c>
    </row>
    <row r="15" spans="2:11" ht="21.95" customHeight="1">
      <c r="B15" s="29" t="s">
        <v>224</v>
      </c>
      <c r="C15" s="1383" t="s">
        <v>268</v>
      </c>
      <c r="D15" s="1384"/>
      <c r="E15" s="1385"/>
      <c r="F15" s="63" t="s">
        <v>0</v>
      </c>
      <c r="G15" s="63" t="s">
        <v>0</v>
      </c>
      <c r="H15" s="912">
        <v>0</v>
      </c>
      <c r="I15" s="912">
        <v>0</v>
      </c>
      <c r="K15" s="746"/>
    </row>
    <row r="16" spans="2:11" ht="21.95" customHeight="1">
      <c r="B16" s="29" t="s">
        <v>225</v>
      </c>
      <c r="C16" s="1386" t="s">
        <v>269</v>
      </c>
      <c r="D16" s="1387"/>
      <c r="E16" s="1388"/>
      <c r="F16" s="63" t="s">
        <v>7</v>
      </c>
      <c r="G16" s="63" t="s">
        <v>7</v>
      </c>
      <c r="H16" s="912">
        <v>0</v>
      </c>
      <c r="I16" s="912">
        <v>0</v>
      </c>
      <c r="K16" s="746"/>
    </row>
    <row r="17" spans="2:11" ht="21.95" customHeight="1">
      <c r="B17" s="29" t="s">
        <v>226</v>
      </c>
      <c r="C17" s="1386" t="s">
        <v>270</v>
      </c>
      <c r="D17" s="1387"/>
      <c r="E17" s="1388"/>
      <c r="F17" s="63" t="s">
        <v>7</v>
      </c>
      <c r="G17" s="63" t="s">
        <v>7</v>
      </c>
      <c r="H17" s="912">
        <v>22711028</v>
      </c>
      <c r="I17" s="912">
        <v>0</v>
      </c>
      <c r="K17" s="746"/>
    </row>
    <row r="18" spans="2:11" ht="21.95" customHeight="1">
      <c r="B18" s="29" t="s">
        <v>227</v>
      </c>
      <c r="C18" s="1386" t="s">
        <v>271</v>
      </c>
      <c r="D18" s="1387"/>
      <c r="E18" s="1388"/>
      <c r="F18" s="63" t="s">
        <v>7</v>
      </c>
      <c r="G18" s="63" t="s">
        <v>7</v>
      </c>
      <c r="H18" s="912">
        <v>6861600</v>
      </c>
      <c r="I18" s="912">
        <v>-1675963</v>
      </c>
      <c r="K18" s="746"/>
    </row>
    <row r="19" spans="2:11" ht="21.95" customHeight="1">
      <c r="B19" s="902"/>
      <c r="C19" s="1380" t="s">
        <v>1672</v>
      </c>
      <c r="D19" s="1381">
        <f>SUM(H15:H18)</f>
        <v>29572628</v>
      </c>
      <c r="E19" s="1382">
        <f>SUM(I15:I18)</f>
        <v>-1675963</v>
      </c>
      <c r="F19" s="60"/>
      <c r="G19" s="61" t="s">
        <v>7</v>
      </c>
      <c r="H19" s="909">
        <f>H15+H16+H17-H18</f>
        <v>15849428</v>
      </c>
      <c r="I19" s="909">
        <f>I15+I16+I17-I18</f>
        <v>1675963</v>
      </c>
    </row>
    <row r="20" spans="2:11" ht="21.95" customHeight="1">
      <c r="B20" s="26" t="s">
        <v>228</v>
      </c>
      <c r="C20" s="1377" t="s">
        <v>229</v>
      </c>
      <c r="D20" s="1378"/>
      <c r="E20" s="1379"/>
      <c r="F20" s="64" t="s">
        <v>230</v>
      </c>
      <c r="G20" s="65" t="s">
        <v>7</v>
      </c>
      <c r="H20" s="913">
        <f>H14-H15-H16-H17+H18</f>
        <v>161186</v>
      </c>
      <c r="I20" s="913">
        <f>I14-I15-I16-I17+I18</f>
        <v>-144039</v>
      </c>
    </row>
    <row r="21" spans="2:11" ht="21.95" customHeight="1">
      <c r="B21" s="29"/>
      <c r="C21" s="1380" t="s">
        <v>231</v>
      </c>
      <c r="D21" s="1381"/>
      <c r="E21" s="1382"/>
      <c r="F21" s="60"/>
      <c r="G21" s="61" t="s">
        <v>7</v>
      </c>
      <c r="H21" s="909"/>
      <c r="I21" s="909"/>
      <c r="K21" s="746"/>
    </row>
    <row r="22" spans="2:11" ht="21.95" customHeight="1">
      <c r="B22" s="29" t="s">
        <v>232</v>
      </c>
      <c r="C22" s="1386" t="s">
        <v>272</v>
      </c>
      <c r="D22" s="1387"/>
      <c r="E22" s="1388"/>
      <c r="F22" s="29"/>
      <c r="G22" s="63" t="s">
        <v>7</v>
      </c>
      <c r="H22" s="912">
        <v>0</v>
      </c>
      <c r="I22" s="912"/>
    </row>
    <row r="23" spans="2:11" ht="21.95" customHeight="1">
      <c r="B23" s="29" t="s">
        <v>233</v>
      </c>
      <c r="C23" s="1386" t="s">
        <v>273</v>
      </c>
      <c r="D23" s="1387"/>
      <c r="E23" s="1388"/>
      <c r="F23" s="29"/>
      <c r="G23" s="63" t="s">
        <v>7</v>
      </c>
      <c r="H23" s="912">
        <v>0</v>
      </c>
      <c r="I23" s="912"/>
    </row>
    <row r="24" spans="2:11" ht="21.95" customHeight="1">
      <c r="B24" s="29" t="s">
        <v>234</v>
      </c>
      <c r="C24" s="1386" t="s">
        <v>274</v>
      </c>
      <c r="D24" s="1387"/>
      <c r="E24" s="1388"/>
      <c r="F24" s="29"/>
      <c r="G24" s="63" t="s">
        <v>7</v>
      </c>
      <c r="H24" s="912">
        <v>0</v>
      </c>
      <c r="I24" s="912"/>
    </row>
    <row r="25" spans="2:11" ht="21.95" customHeight="1">
      <c r="B25" s="29" t="s">
        <v>235</v>
      </c>
      <c r="C25" s="1383" t="s">
        <v>275</v>
      </c>
      <c r="D25" s="1384"/>
      <c r="E25" s="1385"/>
      <c r="F25" s="29"/>
      <c r="G25" s="63" t="s">
        <v>7</v>
      </c>
      <c r="H25" s="912">
        <v>0</v>
      </c>
      <c r="I25" s="912">
        <v>0</v>
      </c>
      <c r="K25" s="746"/>
    </row>
    <row r="26" spans="2:11" ht="21.95" customHeight="1">
      <c r="B26" s="29" t="s">
        <v>236</v>
      </c>
      <c r="C26" s="1386" t="s">
        <v>276</v>
      </c>
      <c r="D26" s="1387"/>
      <c r="E26" s="1388"/>
      <c r="F26" s="29"/>
      <c r="G26" s="63" t="s">
        <v>7</v>
      </c>
      <c r="H26" s="912">
        <v>0</v>
      </c>
      <c r="I26" s="912">
        <v>0</v>
      </c>
    </row>
    <row r="27" spans="2:11" ht="21.95" customHeight="1">
      <c r="B27" s="26" t="s">
        <v>237</v>
      </c>
      <c r="C27" s="1377" t="s">
        <v>238</v>
      </c>
      <c r="D27" s="1378"/>
      <c r="E27" s="1379"/>
      <c r="F27" s="64" t="s">
        <v>239</v>
      </c>
      <c r="G27" s="65" t="s">
        <v>7</v>
      </c>
      <c r="H27" s="914">
        <f>-H22-H23-H24+H25+H26</f>
        <v>0</v>
      </c>
      <c r="I27" s="914"/>
    </row>
    <row r="28" spans="2:11" ht="21.95" customHeight="1">
      <c r="B28" s="29"/>
      <c r="C28" s="1380" t="s">
        <v>240</v>
      </c>
      <c r="D28" s="1381"/>
      <c r="E28" s="1382"/>
      <c r="F28" s="60"/>
      <c r="G28" s="61" t="s">
        <v>7</v>
      </c>
      <c r="H28" s="909"/>
      <c r="I28" s="909"/>
    </row>
    <row r="29" spans="2:11" ht="21.95" customHeight="1">
      <c r="B29" s="29" t="s">
        <v>241</v>
      </c>
      <c r="C29" s="1383" t="s">
        <v>242</v>
      </c>
      <c r="D29" s="1384"/>
      <c r="E29" s="1385"/>
      <c r="F29" s="29"/>
      <c r="G29" s="63" t="s">
        <v>7</v>
      </c>
      <c r="H29" s="912">
        <v>0</v>
      </c>
      <c r="I29" s="912"/>
    </row>
    <row r="30" spans="2:11" ht="21.95" customHeight="1">
      <c r="B30" s="29" t="s">
        <v>243</v>
      </c>
      <c r="C30" s="1386" t="s">
        <v>277</v>
      </c>
      <c r="D30" s="1387"/>
      <c r="E30" s="1388"/>
      <c r="F30" s="29"/>
      <c r="G30" s="63" t="s">
        <v>7</v>
      </c>
      <c r="H30" s="912">
        <v>0</v>
      </c>
      <c r="I30" s="912"/>
    </row>
    <row r="31" spans="2:11" ht="21.95" customHeight="1">
      <c r="B31" s="29" t="s">
        <v>244</v>
      </c>
      <c r="C31" s="1386" t="s">
        <v>278</v>
      </c>
      <c r="D31" s="1387"/>
      <c r="E31" s="1388"/>
      <c r="F31" s="29"/>
      <c r="G31" s="63" t="s">
        <v>7</v>
      </c>
      <c r="H31" s="912">
        <v>0</v>
      </c>
      <c r="I31" s="912"/>
    </row>
    <row r="32" spans="2:11" ht="21.95" customHeight="1">
      <c r="B32" s="29" t="s">
        <v>245</v>
      </c>
      <c r="C32" s="1386" t="s">
        <v>279</v>
      </c>
      <c r="D32" s="1387"/>
      <c r="E32" s="1388"/>
      <c r="F32" s="29"/>
      <c r="G32" s="63" t="s">
        <v>7</v>
      </c>
      <c r="H32" s="912">
        <v>0</v>
      </c>
      <c r="I32" s="912"/>
    </row>
    <row r="33" spans="2:9" ht="21.95" customHeight="1">
      <c r="B33" s="26" t="s">
        <v>246</v>
      </c>
      <c r="C33" s="1374" t="s">
        <v>280</v>
      </c>
      <c r="D33" s="1375"/>
      <c r="E33" s="1376"/>
      <c r="F33" s="66" t="s">
        <v>247</v>
      </c>
      <c r="G33" s="67" t="s">
        <v>7</v>
      </c>
      <c r="H33" s="915">
        <f>H29+H30-H31-H32</f>
        <v>0</v>
      </c>
      <c r="I33" s="916">
        <f>I29+I30-I31-I32</f>
        <v>0</v>
      </c>
    </row>
    <row r="34" spans="2:9" ht="21.95" customHeight="1">
      <c r="B34" s="29"/>
      <c r="C34" s="1380" t="s">
        <v>248</v>
      </c>
      <c r="D34" s="1381"/>
      <c r="E34" s="1382"/>
      <c r="F34" s="60"/>
      <c r="G34" s="61" t="s">
        <v>7</v>
      </c>
      <c r="H34" s="909"/>
      <c r="I34" s="909"/>
    </row>
    <row r="35" spans="2:9" ht="21.95" customHeight="1">
      <c r="B35" s="29" t="s">
        <v>249</v>
      </c>
      <c r="C35" s="1383" t="s">
        <v>250</v>
      </c>
      <c r="D35" s="1384"/>
      <c r="E35" s="1385"/>
      <c r="F35" s="29"/>
      <c r="G35" s="63" t="s">
        <v>7</v>
      </c>
      <c r="H35" s="912">
        <v>0</v>
      </c>
      <c r="I35" s="912"/>
    </row>
    <row r="36" spans="2:9" ht="21.95" customHeight="1">
      <c r="B36" s="29" t="s">
        <v>251</v>
      </c>
      <c r="C36" s="1386" t="s">
        <v>281</v>
      </c>
      <c r="D36" s="1387"/>
      <c r="E36" s="1388"/>
      <c r="F36" s="29"/>
      <c r="G36" s="63" t="s">
        <v>7</v>
      </c>
      <c r="H36" s="912">
        <v>0</v>
      </c>
      <c r="I36" s="912"/>
    </row>
    <row r="37" spans="2:9" ht="21.95" customHeight="1">
      <c r="B37" s="29" t="s">
        <v>252</v>
      </c>
      <c r="C37" s="1386" t="s">
        <v>282</v>
      </c>
      <c r="D37" s="1387"/>
      <c r="E37" s="1388"/>
      <c r="F37" s="29"/>
      <c r="G37" s="63" t="s">
        <v>7</v>
      </c>
      <c r="H37" s="912">
        <v>0</v>
      </c>
      <c r="I37" s="912"/>
    </row>
    <row r="38" spans="2:9" ht="21.95" customHeight="1">
      <c r="B38" s="26" t="s">
        <v>253</v>
      </c>
      <c r="C38" s="1374" t="s">
        <v>283</v>
      </c>
      <c r="D38" s="1375"/>
      <c r="E38" s="1376"/>
      <c r="F38" s="66" t="s">
        <v>254</v>
      </c>
      <c r="G38" s="68" t="s">
        <v>7</v>
      </c>
      <c r="H38" s="915">
        <f>H35+H36-H37</f>
        <v>0</v>
      </c>
      <c r="I38" s="915">
        <f>I35+I36-I37</f>
        <v>0</v>
      </c>
    </row>
    <row r="39" spans="2:9" ht="21.95" customHeight="1">
      <c r="B39" s="26" t="s">
        <v>255</v>
      </c>
      <c r="C39" s="1377" t="s">
        <v>256</v>
      </c>
      <c r="D39" s="1378"/>
      <c r="E39" s="1379"/>
      <c r="F39" s="64" t="s">
        <v>257</v>
      </c>
      <c r="G39" s="52" t="s">
        <v>0</v>
      </c>
      <c r="H39" s="913">
        <f>H33+H38</f>
        <v>0</v>
      </c>
      <c r="I39" s="913"/>
    </row>
    <row r="40" spans="2:9" ht="21.95" customHeight="1">
      <c r="B40" s="26" t="s">
        <v>258</v>
      </c>
      <c r="C40" s="1389" t="s">
        <v>259</v>
      </c>
      <c r="D40" s="1390"/>
      <c r="E40" s="1391"/>
      <c r="F40" s="70" t="s">
        <v>260</v>
      </c>
      <c r="G40" s="69" t="s">
        <v>7</v>
      </c>
      <c r="H40" s="917">
        <f>H20+H27+H39</f>
        <v>161186</v>
      </c>
      <c r="I40" s="917">
        <v>-144039</v>
      </c>
    </row>
    <row r="41" spans="2:9" ht="21.95" customHeight="1">
      <c r="B41" s="1404" t="s">
        <v>261</v>
      </c>
      <c r="C41" s="1392" t="s">
        <v>262</v>
      </c>
      <c r="D41" s="1393"/>
      <c r="E41" s="1394"/>
      <c r="F41" s="1406" t="s">
        <v>263</v>
      </c>
      <c r="G41" s="1406" t="s">
        <v>7</v>
      </c>
      <c r="H41" s="1408">
        <f>H11+H40</f>
        <v>125136</v>
      </c>
      <c r="I41" s="1408"/>
    </row>
    <row r="42" spans="2:9" ht="21.95" customHeight="1" thickBot="1">
      <c r="B42" s="1405"/>
      <c r="C42" s="1395" t="s">
        <v>1680</v>
      </c>
      <c r="D42" s="1396"/>
      <c r="E42" s="1397"/>
      <c r="F42" s="1407"/>
      <c r="G42" s="1407"/>
      <c r="H42" s="1409"/>
      <c r="I42" s="1409"/>
    </row>
    <row r="43" spans="2:9" ht="20.100000000000001" customHeight="1">
      <c r="B43" s="1401" t="s">
        <v>264</v>
      </c>
      <c r="C43" s="1401"/>
      <c r="D43" s="1401"/>
      <c r="E43" s="1401"/>
      <c r="F43" s="1401"/>
      <c r="G43" s="1401"/>
      <c r="H43" s="1401"/>
      <c r="I43" s="1401"/>
    </row>
    <row r="44" spans="2:9" ht="20.100000000000001" customHeight="1">
      <c r="B44" s="1402"/>
      <c r="C44" s="1402"/>
      <c r="D44" s="1402"/>
      <c r="E44" s="1402"/>
      <c r="F44" s="1402"/>
      <c r="G44" s="1402"/>
      <c r="H44" s="1402"/>
      <c r="I44" s="1402"/>
    </row>
    <row r="45" spans="2:9" ht="20.100000000000001" customHeight="1">
      <c r="H45" s="746"/>
      <c r="I45" s="746"/>
    </row>
    <row r="46" spans="2:9" ht="20.100000000000001" customHeight="1">
      <c r="H46" s="746"/>
    </row>
    <row r="47" spans="2:9" ht="20.100000000000001" customHeight="1">
      <c r="H47" s="746"/>
      <c r="I47" s="746"/>
    </row>
    <row r="48" spans="2:9" ht="20.100000000000001" customHeight="1">
      <c r="H48" s="746"/>
    </row>
    <row r="49" spans="9:10" ht="20.100000000000001" customHeight="1">
      <c r="I49" s="745"/>
    </row>
    <row r="50" spans="9:10" ht="20.100000000000001" customHeight="1">
      <c r="I50" s="747"/>
      <c r="J50" s="746"/>
    </row>
    <row r="51" spans="9:10" ht="20.100000000000001" customHeight="1"/>
    <row r="52" spans="9:10" ht="20.100000000000001" customHeight="1"/>
    <row r="53" spans="9:10" ht="20.100000000000001" customHeight="1"/>
    <row r="54" spans="9:10" ht="20.100000000000001" customHeight="1"/>
    <row r="55" spans="9:10" ht="20.100000000000001" customHeight="1"/>
    <row r="56" spans="9:10" ht="20.100000000000001" customHeight="1"/>
    <row r="57" spans="9:10" ht="20.100000000000001" customHeight="1"/>
    <row r="58" spans="9:10" ht="20.100000000000001" customHeight="1"/>
    <row r="59" spans="9:10" ht="20.100000000000001" customHeight="1"/>
    <row r="60" spans="9:10" ht="20.100000000000001" customHeight="1"/>
    <row r="61" spans="9:10" ht="20.100000000000001" customHeight="1"/>
    <row r="62" spans="9:10" ht="20.100000000000001" customHeight="1"/>
    <row r="63" spans="9:10" ht="20.100000000000001" customHeight="1"/>
  </sheetData>
  <mergeCells count="53">
    <mergeCell ref="B5:D5"/>
    <mergeCell ref="B6:D6"/>
    <mergeCell ref="G5:I5"/>
    <mergeCell ref="G6:I6"/>
    <mergeCell ref="H9:H10"/>
    <mergeCell ref="I9:I10"/>
    <mergeCell ref="B43:I44"/>
    <mergeCell ref="B8:I8"/>
    <mergeCell ref="B41:B42"/>
    <mergeCell ref="F41:F42"/>
    <mergeCell ref="G41:G42"/>
    <mergeCell ref="H41:H42"/>
    <mergeCell ref="I41:I42"/>
    <mergeCell ref="B9:B10"/>
    <mergeCell ref="G9:G10"/>
    <mergeCell ref="B11:B12"/>
    <mergeCell ref="F11:F12"/>
    <mergeCell ref="G11:G12"/>
    <mergeCell ref="C11:E11"/>
    <mergeCell ref="C18:E18"/>
    <mergeCell ref="C20:E20"/>
    <mergeCell ref="C21:E21"/>
    <mergeCell ref="C22:E22"/>
    <mergeCell ref="C12:E12"/>
    <mergeCell ref="C13:E13"/>
    <mergeCell ref="C14:E14"/>
    <mergeCell ref="C15:E15"/>
    <mergeCell ref="C16:E16"/>
    <mergeCell ref="C19:E19"/>
    <mergeCell ref="C40:E40"/>
    <mergeCell ref="C41:E41"/>
    <mergeCell ref="C42:E42"/>
    <mergeCell ref="C33:E33"/>
    <mergeCell ref="C34:E34"/>
    <mergeCell ref="C35:E35"/>
    <mergeCell ref="C36:E36"/>
    <mergeCell ref="C37:E37"/>
    <mergeCell ref="H11:H12"/>
    <mergeCell ref="I11:I12"/>
    <mergeCell ref="C9:F10"/>
    <mergeCell ref="C38:E38"/>
    <mergeCell ref="C39:E39"/>
    <mergeCell ref="C28:E28"/>
    <mergeCell ref="C29:E29"/>
    <mergeCell ref="C30:E30"/>
    <mergeCell ref="C31:E31"/>
    <mergeCell ref="C32:E32"/>
    <mergeCell ref="C23:E23"/>
    <mergeCell ref="C24:E24"/>
    <mergeCell ref="C25:E25"/>
    <mergeCell ref="C26:E26"/>
    <mergeCell ref="C27:E27"/>
    <mergeCell ref="C17:E17"/>
  </mergeCells>
  <pageMargins left="0.19685039370078741" right="0.19685039370078741" top="0.74803149606299213" bottom="0.74803149606299213" header="0.31496062992125984" footer="0.31496062992125984"/>
  <pageSetup paperSize="9" scale="7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showZeros="0" workbookViewId="0">
      <selection activeCell="D17" sqref="D17"/>
    </sheetView>
  </sheetViews>
  <sheetFormatPr baseColWidth="10" defaultRowHeight="21.95" customHeight="1"/>
  <cols>
    <col min="1" max="1" width="54.42578125" style="87" customWidth="1"/>
    <col min="2" max="2" width="5.28515625" style="87" customWidth="1"/>
    <col min="3" max="4" width="11.42578125" style="87"/>
    <col min="5" max="5" width="13.85546875" style="87" customWidth="1"/>
    <col min="6" max="6" width="13.7109375" style="87" customWidth="1"/>
    <col min="7" max="16384" width="11.42578125" style="87"/>
  </cols>
  <sheetData>
    <row r="1" spans="1:7" ht="9.9499999999999993" customHeight="1">
      <c r="A1" s="86"/>
    </row>
    <row r="2" spans="1:7" ht="9.9499999999999993" customHeight="1">
      <c r="A2" s="88" t="s">
        <v>7</v>
      </c>
    </row>
    <row r="3" spans="1:7" ht="9.9499999999999993" customHeight="1">
      <c r="A3" s="88"/>
    </row>
    <row r="4" spans="1:7" ht="15" customHeight="1">
      <c r="A4" s="88"/>
    </row>
    <row r="5" spans="1:7" ht="15" customHeight="1">
      <c r="A5" s="1338" t="str">
        <f>_soNom</f>
        <v>Cecotra</v>
      </c>
      <c r="B5" s="1338"/>
      <c r="C5" s="2"/>
      <c r="D5" s="1342" t="str">
        <f>_ExerClos</f>
        <v>Exercice clos le 31/12/2025</v>
      </c>
      <c r="E5" s="1342"/>
      <c r="F5" s="1342"/>
      <c r="G5" s="2"/>
    </row>
    <row r="6" spans="1:7" ht="15" customHeight="1">
      <c r="A6" s="6" t="str">
        <f>_soId</f>
        <v> 3201810353457</v>
      </c>
      <c r="B6" s="2"/>
      <c r="C6" s="2"/>
      <c r="D6" s="1341" t="str">
        <f>_Duree</f>
        <v>Durée (en mois) 12</v>
      </c>
      <c r="E6" s="1341"/>
      <c r="F6" s="1341"/>
      <c r="G6" s="2"/>
    </row>
    <row r="7" spans="1:7" ht="15" customHeight="1">
      <c r="A7" s="86"/>
    </row>
    <row r="8" spans="1:7" ht="21.95" customHeight="1" thickBot="1">
      <c r="A8" s="1431" t="s">
        <v>284</v>
      </c>
      <c r="B8" s="1431"/>
      <c r="C8" s="1431"/>
      <c r="D8" s="1431"/>
      <c r="E8" s="1431"/>
      <c r="F8" s="1431"/>
    </row>
    <row r="9" spans="1:7" ht="21.95" customHeight="1" thickBot="1">
      <c r="A9" s="1435" t="s">
        <v>217</v>
      </c>
      <c r="B9" s="1420" t="s">
        <v>218</v>
      </c>
      <c r="C9" s="1440" t="s">
        <v>285</v>
      </c>
      <c r="D9" s="1443" t="s">
        <v>286</v>
      </c>
      <c r="E9" s="1444"/>
      <c r="F9" s="1445"/>
    </row>
    <row r="10" spans="1:7" ht="21.95" customHeight="1">
      <c r="A10" s="1436"/>
      <c r="B10" s="1438"/>
      <c r="C10" s="1441"/>
      <c r="D10" s="1446" t="s">
        <v>287</v>
      </c>
      <c r="E10" s="1420" t="s">
        <v>288</v>
      </c>
      <c r="F10" s="110" t="s">
        <v>289</v>
      </c>
    </row>
    <row r="11" spans="1:7" ht="21.95" customHeight="1" thickBot="1">
      <c r="A11" s="1437"/>
      <c r="B11" s="1439"/>
      <c r="C11" s="1442"/>
      <c r="D11" s="1447"/>
      <c r="E11" s="1421"/>
      <c r="F11" s="126" t="s">
        <v>290</v>
      </c>
    </row>
    <row r="12" spans="1:7" ht="21.95" customHeight="1" thickBot="1">
      <c r="A12" s="98" t="s">
        <v>533</v>
      </c>
      <c r="B12" s="105" t="s">
        <v>7</v>
      </c>
      <c r="C12" s="918"/>
      <c r="D12" s="919"/>
      <c r="E12" s="920"/>
      <c r="F12" s="921"/>
    </row>
    <row r="13" spans="1:7" ht="21.95" customHeight="1">
      <c r="A13" s="99" t="s">
        <v>291</v>
      </c>
      <c r="B13" s="95" t="s">
        <v>7</v>
      </c>
      <c r="C13" s="922"/>
      <c r="D13" s="923"/>
      <c r="E13" s="924"/>
      <c r="F13" s="925"/>
    </row>
    <row r="14" spans="1:7" ht="21.95" customHeight="1">
      <c r="A14" s="100" t="s">
        <v>292</v>
      </c>
      <c r="B14" s="92" t="s">
        <v>7</v>
      </c>
      <c r="C14" s="926"/>
      <c r="D14" s="927"/>
      <c r="E14" s="928"/>
      <c r="F14" s="929"/>
    </row>
    <row r="15" spans="1:7" ht="21.95" customHeight="1">
      <c r="A15" s="100" t="s">
        <v>293</v>
      </c>
      <c r="B15" s="92" t="s">
        <v>7</v>
      </c>
      <c r="C15" s="926"/>
      <c r="D15" s="927"/>
      <c r="E15" s="928"/>
      <c r="F15" s="929"/>
    </row>
    <row r="16" spans="1:7" ht="21.95" customHeight="1" thickBot="1">
      <c r="A16" s="101" t="s">
        <v>294</v>
      </c>
      <c r="B16" s="94" t="s">
        <v>7</v>
      </c>
      <c r="C16" s="930"/>
      <c r="D16" s="931"/>
      <c r="E16" s="932"/>
      <c r="F16" s="933"/>
    </row>
    <row r="17" spans="1:6" ht="21.95" customHeight="1" thickBot="1">
      <c r="A17" s="102" t="s">
        <v>295</v>
      </c>
      <c r="B17" s="106" t="s">
        <v>7</v>
      </c>
      <c r="C17" s="934">
        <f>SUM(C13:C16)</f>
        <v>0</v>
      </c>
      <c r="D17" s="934">
        <f t="shared" ref="D17:F17" si="0">SUM(D13:D16)</f>
        <v>0</v>
      </c>
      <c r="E17" s="934">
        <f t="shared" si="0"/>
        <v>0</v>
      </c>
      <c r="F17" s="934">
        <f t="shared" si="0"/>
        <v>0</v>
      </c>
    </row>
    <row r="18" spans="1:6" ht="21.95" customHeight="1">
      <c r="A18" s="103" t="s">
        <v>7</v>
      </c>
      <c r="B18" s="95" t="s">
        <v>7</v>
      </c>
      <c r="C18" s="922"/>
      <c r="D18" s="923"/>
      <c r="E18" s="924"/>
      <c r="F18" s="925"/>
    </row>
    <row r="19" spans="1:6" ht="21.95" customHeight="1">
      <c r="A19" s="104" t="s">
        <v>296</v>
      </c>
      <c r="B19" s="107" t="s">
        <v>7</v>
      </c>
      <c r="C19" s="935"/>
      <c r="D19" s="936"/>
      <c r="E19" s="937"/>
      <c r="F19" s="938"/>
    </row>
    <row r="20" spans="1:6" ht="21.95" customHeight="1">
      <c r="A20" s="100" t="s">
        <v>297</v>
      </c>
      <c r="B20" s="92" t="s">
        <v>7</v>
      </c>
      <c r="C20" s="926"/>
      <c r="D20" s="927"/>
      <c r="E20" s="928"/>
      <c r="F20" s="929"/>
    </row>
    <row r="21" spans="1:6" ht="21.95" customHeight="1">
      <c r="A21" s="100" t="s">
        <v>298</v>
      </c>
      <c r="B21" s="92" t="s">
        <v>7</v>
      </c>
      <c r="C21" s="926"/>
      <c r="D21" s="927"/>
      <c r="E21" s="928"/>
      <c r="F21" s="929"/>
    </row>
    <row r="22" spans="1:6" ht="21.95" customHeight="1">
      <c r="A22" s="100" t="s">
        <v>299</v>
      </c>
      <c r="B22" s="92" t="s">
        <v>7</v>
      </c>
      <c r="C22" s="926"/>
      <c r="D22" s="927"/>
      <c r="E22" s="928"/>
      <c r="F22" s="929"/>
    </row>
    <row r="23" spans="1:6" ht="21.95" customHeight="1" thickBot="1">
      <c r="A23" s="101" t="s">
        <v>300</v>
      </c>
      <c r="B23" s="94" t="s">
        <v>0</v>
      </c>
      <c r="C23" s="930"/>
      <c r="D23" s="931"/>
      <c r="E23" s="932"/>
      <c r="F23" s="933"/>
    </row>
    <row r="24" spans="1:6" ht="21.95" customHeight="1" thickBot="1">
      <c r="A24" s="102" t="s">
        <v>301</v>
      </c>
      <c r="B24" s="106" t="s">
        <v>7</v>
      </c>
      <c r="C24" s="934">
        <f>SUM(C20:C23)</f>
        <v>0</v>
      </c>
      <c r="D24" s="934">
        <f t="shared" ref="D24:F24" si="1">SUM(D20:D23)</f>
        <v>0</v>
      </c>
      <c r="E24" s="934">
        <f t="shared" si="1"/>
        <v>0</v>
      </c>
      <c r="F24" s="934">
        <f t="shared" si="1"/>
        <v>0</v>
      </c>
    </row>
    <row r="25" spans="1:6" ht="21.95" customHeight="1">
      <c r="A25" s="103" t="s">
        <v>7</v>
      </c>
      <c r="B25" s="95" t="s">
        <v>7</v>
      </c>
      <c r="C25" s="922"/>
      <c r="D25" s="923"/>
      <c r="E25" s="924"/>
      <c r="F25" s="925"/>
    </row>
    <row r="26" spans="1:6" ht="21.95" customHeight="1">
      <c r="A26" s="104" t="s">
        <v>302</v>
      </c>
      <c r="B26" s="107" t="s">
        <v>7</v>
      </c>
      <c r="C26" s="935"/>
      <c r="D26" s="936"/>
      <c r="E26" s="937"/>
      <c r="F26" s="938"/>
    </row>
    <row r="27" spans="1:6" ht="21.95" customHeight="1">
      <c r="A27" s="100" t="s">
        <v>303</v>
      </c>
      <c r="B27" s="92" t="s">
        <v>7</v>
      </c>
      <c r="C27" s="926"/>
      <c r="D27" s="927"/>
      <c r="E27" s="928"/>
      <c r="F27" s="929"/>
    </row>
    <row r="28" spans="1:6" ht="21.95" customHeight="1">
      <c r="A28" s="100" t="s">
        <v>49</v>
      </c>
      <c r="B28" s="92" t="s">
        <v>7</v>
      </c>
      <c r="C28" s="926"/>
      <c r="D28" s="927"/>
      <c r="E28" s="928"/>
      <c r="F28" s="929"/>
    </row>
    <row r="29" spans="1:6" ht="21.95" customHeight="1">
      <c r="A29" s="100" t="s">
        <v>304</v>
      </c>
      <c r="B29" s="92" t="s">
        <v>7</v>
      </c>
      <c r="C29" s="926"/>
      <c r="D29" s="927"/>
      <c r="E29" s="928"/>
      <c r="F29" s="929"/>
    </row>
    <row r="30" spans="1:6" ht="21.95" customHeight="1">
      <c r="A30" s="100" t="s">
        <v>305</v>
      </c>
      <c r="B30" s="92" t="s">
        <v>7</v>
      </c>
      <c r="C30" s="926"/>
      <c r="D30" s="927"/>
      <c r="E30" s="928"/>
      <c r="F30" s="929"/>
    </row>
    <row r="31" spans="1:6" ht="21.95" customHeight="1">
      <c r="A31" s="100" t="s">
        <v>306</v>
      </c>
      <c r="B31" s="92" t="s">
        <v>7</v>
      </c>
      <c r="C31" s="926"/>
      <c r="D31" s="927"/>
      <c r="E31" s="928"/>
      <c r="F31" s="929"/>
    </row>
    <row r="32" spans="1:6" ht="21.95" customHeight="1">
      <c r="A32" s="100" t="s">
        <v>307</v>
      </c>
      <c r="B32" s="92" t="s">
        <v>7</v>
      </c>
      <c r="C32" s="926"/>
      <c r="D32" s="927"/>
      <c r="E32" s="928"/>
      <c r="F32" s="929"/>
    </row>
    <row r="33" spans="1:6" ht="21.95" customHeight="1">
      <c r="A33" s="100" t="s">
        <v>308</v>
      </c>
      <c r="B33" s="92" t="s">
        <v>7</v>
      </c>
      <c r="C33" s="926"/>
      <c r="D33" s="927"/>
      <c r="E33" s="928"/>
      <c r="F33" s="929"/>
    </row>
    <row r="34" spans="1:6" ht="21.95" customHeight="1" thickBot="1">
      <c r="A34" s="101" t="s">
        <v>309</v>
      </c>
      <c r="B34" s="94" t="s">
        <v>7</v>
      </c>
      <c r="C34" s="930"/>
      <c r="D34" s="931"/>
      <c r="E34" s="932"/>
      <c r="F34" s="933"/>
    </row>
    <row r="35" spans="1:6" ht="21.95" customHeight="1" thickBot="1">
      <c r="A35" s="102" t="s">
        <v>310</v>
      </c>
      <c r="B35" s="106" t="s">
        <v>7</v>
      </c>
      <c r="C35" s="934">
        <f>SUM(C27:C34)</f>
        <v>0</v>
      </c>
      <c r="D35" s="934">
        <f t="shared" ref="D35:F35" si="2">SUM(D27:D34)</f>
        <v>0</v>
      </c>
      <c r="E35" s="934">
        <f t="shared" si="2"/>
        <v>0</v>
      </c>
      <c r="F35" s="934">
        <f t="shared" si="2"/>
        <v>0</v>
      </c>
    </row>
    <row r="36" spans="1:6" ht="21.95" customHeight="1" thickBot="1">
      <c r="A36" s="108" t="s">
        <v>311</v>
      </c>
      <c r="B36" s="109" t="s">
        <v>7</v>
      </c>
      <c r="C36" s="939">
        <f>+C17+C24+C35</f>
        <v>0</v>
      </c>
      <c r="D36" s="939">
        <f t="shared" ref="D36:F36" si="3">+D17+D24+D35</f>
        <v>0</v>
      </c>
      <c r="E36" s="939">
        <f t="shared" si="3"/>
        <v>0</v>
      </c>
      <c r="F36" s="939">
        <f t="shared" si="3"/>
        <v>0</v>
      </c>
    </row>
    <row r="37" spans="1:6" ht="21.95" customHeight="1">
      <c r="A37" s="1432" t="s">
        <v>312</v>
      </c>
      <c r="B37" s="1433"/>
      <c r="C37" s="1434"/>
      <c r="D37" s="110" t="s">
        <v>7</v>
      </c>
      <c r="E37" s="111" t="s">
        <v>313</v>
      </c>
      <c r="F37" s="112" t="s">
        <v>314</v>
      </c>
    </row>
    <row r="38" spans="1:6" ht="21.95" customHeight="1">
      <c r="A38" s="1422" t="s">
        <v>315</v>
      </c>
      <c r="B38" s="1423"/>
      <c r="C38" s="1424"/>
      <c r="D38" s="926"/>
      <c r="E38" s="940"/>
      <c r="F38" s="926"/>
    </row>
    <row r="39" spans="1:6" ht="21.95" customHeight="1">
      <c r="A39" s="1422" t="s">
        <v>316</v>
      </c>
      <c r="B39" s="1423"/>
      <c r="C39" s="1424"/>
      <c r="D39" s="926"/>
      <c r="E39" s="940"/>
      <c r="F39" s="926"/>
    </row>
    <row r="40" spans="1:6" ht="21.95" customHeight="1">
      <c r="A40" s="1422" t="s">
        <v>317</v>
      </c>
      <c r="B40" s="1423"/>
      <c r="C40" s="1424"/>
      <c r="D40" s="926"/>
      <c r="E40" s="940"/>
      <c r="F40" s="926"/>
    </row>
    <row r="41" spans="1:6" ht="21.95" customHeight="1">
      <c r="A41" s="1422" t="s">
        <v>318</v>
      </c>
      <c r="B41" s="1423"/>
      <c r="C41" s="1424"/>
      <c r="D41" s="926"/>
      <c r="E41" s="940"/>
      <c r="F41" s="926"/>
    </row>
    <row r="42" spans="1:6" ht="21.95" customHeight="1">
      <c r="A42" s="1422" t="s">
        <v>319</v>
      </c>
      <c r="B42" s="1423"/>
      <c r="C42" s="1424"/>
      <c r="D42" s="926"/>
      <c r="E42" s="940"/>
      <c r="F42" s="926"/>
    </row>
    <row r="43" spans="1:6" ht="21.95" customHeight="1">
      <c r="A43" s="1422" t="s">
        <v>320</v>
      </c>
      <c r="B43" s="1423"/>
      <c r="C43" s="1424"/>
      <c r="D43" s="926"/>
      <c r="E43" s="940"/>
      <c r="F43" s="926"/>
    </row>
    <row r="44" spans="1:6" ht="21.95" customHeight="1" thickBot="1">
      <c r="A44" s="1425" t="s">
        <v>321</v>
      </c>
      <c r="B44" s="1426"/>
      <c r="C44" s="1427"/>
      <c r="D44" s="930"/>
      <c r="E44" s="941"/>
      <c r="F44" s="930"/>
    </row>
    <row r="45" spans="1:6" ht="21.95" customHeight="1" thickBot="1">
      <c r="A45" s="1428" t="s">
        <v>534</v>
      </c>
      <c r="B45" s="1429"/>
      <c r="C45" s="1430"/>
      <c r="D45" s="942"/>
      <c r="E45" s="943">
        <f>SUM(E38:E44)</f>
        <v>0</v>
      </c>
      <c r="F45" s="943">
        <f>SUM(F38:F44)</f>
        <v>0</v>
      </c>
    </row>
    <row r="46" spans="1:6" ht="21.95" customHeight="1">
      <c r="A46" s="1" t="s">
        <v>535</v>
      </c>
    </row>
    <row r="47" spans="1:6" ht="21.95" customHeight="1">
      <c r="A47" s="89" t="s">
        <v>536</v>
      </c>
    </row>
  </sheetData>
  <mergeCells count="19">
    <mergeCell ref="A45:C45"/>
    <mergeCell ref="A8:F8"/>
    <mergeCell ref="A37:C37"/>
    <mergeCell ref="A38:C38"/>
    <mergeCell ref="A39:C39"/>
    <mergeCell ref="A40:C40"/>
    <mergeCell ref="A41:C41"/>
    <mergeCell ref="A42:C42"/>
    <mergeCell ref="A9:A11"/>
    <mergeCell ref="B9:B11"/>
    <mergeCell ref="C9:C11"/>
    <mergeCell ref="D9:F9"/>
    <mergeCell ref="D10:D11"/>
    <mergeCell ref="E10:E11"/>
    <mergeCell ref="A43:C43"/>
    <mergeCell ref="A44:C44"/>
    <mergeCell ref="A5:B5"/>
    <mergeCell ref="D5:F5"/>
    <mergeCell ref="D6:F6"/>
  </mergeCells>
  <pageMargins left="0.31496062992125984" right="0.31496062992125984" top="0" bottom="0" header="0.31496062992125984" footer="0.31496062992125984"/>
  <pageSetup paperSize="9" scale="8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1"/>
  <sheetViews>
    <sheetView topLeftCell="A14" workbookViewId="0">
      <selection activeCell="E7" sqref="E7"/>
    </sheetView>
  </sheetViews>
  <sheetFormatPr baseColWidth="10" defaultRowHeight="15"/>
  <cols>
    <col min="1" max="1" width="3.42578125" customWidth="1"/>
    <col min="2" max="2" width="43.5703125" customWidth="1"/>
    <col min="3" max="3" width="13.7109375" customWidth="1"/>
    <col min="4" max="4" width="8.7109375" customWidth="1"/>
    <col min="5" max="5" width="16.5703125" customWidth="1"/>
    <col min="6" max="6" width="14" customWidth="1"/>
  </cols>
  <sheetData>
    <row r="2" spans="2:8">
      <c r="B2" s="71"/>
    </row>
    <row r="3" spans="2:8" ht="18">
      <c r="B3" s="72"/>
    </row>
    <row r="4" spans="2:8" ht="18">
      <c r="B4" s="72"/>
    </row>
    <row r="5" spans="2:8">
      <c r="B5" s="4" t="str">
        <f>_soNom</f>
        <v>Cecotra</v>
      </c>
      <c r="E5" s="1339" t="str">
        <f>_ExerClos</f>
        <v>Exercice clos le 31/12/2025</v>
      </c>
      <c r="F5" s="1339"/>
    </row>
    <row r="6" spans="2:8">
      <c r="B6" s="6" t="str">
        <f>_soId</f>
        <v> 3201810353457</v>
      </c>
      <c r="E6" s="1339" t="str">
        <f>_Duree</f>
        <v>Durée (en mois) 12</v>
      </c>
      <c r="F6" s="1339"/>
      <c r="H6" s="2"/>
    </row>
    <row r="7" spans="2:8">
      <c r="H7" s="2"/>
    </row>
    <row r="8" spans="2:8">
      <c r="B8" s="1460" t="s">
        <v>540</v>
      </c>
      <c r="C8" s="1460"/>
      <c r="D8" s="1460"/>
      <c r="E8" s="1460"/>
      <c r="F8" s="1460"/>
    </row>
    <row r="9" spans="2:8" ht="15.75" thickBot="1">
      <c r="B9" s="1461" t="s">
        <v>541</v>
      </c>
      <c r="C9" s="1461"/>
      <c r="D9" s="1461"/>
      <c r="E9" s="1461"/>
      <c r="F9" s="1461"/>
    </row>
    <row r="10" spans="2:8" ht="18" customHeight="1">
      <c r="B10" s="1462" t="s">
        <v>1641</v>
      </c>
      <c r="C10" s="1463"/>
      <c r="D10" s="1463"/>
      <c r="E10" s="1463"/>
      <c r="F10" s="1464"/>
    </row>
    <row r="11" spans="2:8">
      <c r="B11" s="1454"/>
      <c r="C11" s="1455"/>
      <c r="D11" s="1455"/>
      <c r="E11" s="1455"/>
      <c r="F11" s="1456"/>
    </row>
    <row r="12" spans="2:8" ht="38.25" customHeight="1">
      <c r="B12" s="1457"/>
      <c r="C12" s="1458"/>
      <c r="D12" s="1458"/>
      <c r="E12" s="1458"/>
      <c r="F12" s="1459"/>
    </row>
    <row r="13" spans="2:8" ht="22.5" customHeight="1">
      <c r="B13" s="1448" t="s">
        <v>1642</v>
      </c>
      <c r="C13" s="1449"/>
      <c r="D13" s="1449"/>
      <c r="E13" s="1449"/>
      <c r="F13" s="1450"/>
    </row>
    <row r="14" spans="2:8">
      <c r="B14" s="1454"/>
      <c r="C14" s="1455"/>
      <c r="D14" s="1455"/>
      <c r="E14" s="1455"/>
      <c r="F14" s="1456"/>
    </row>
    <row r="15" spans="2:8" ht="42.75" customHeight="1">
      <c r="B15" s="1457"/>
      <c r="C15" s="1458"/>
      <c r="D15" s="1458"/>
      <c r="E15" s="1458"/>
      <c r="F15" s="1459"/>
    </row>
    <row r="16" spans="2:8" ht="25.5" customHeight="1">
      <c r="B16" s="1448" t="s">
        <v>1643</v>
      </c>
      <c r="C16" s="1449"/>
      <c r="D16" s="1449"/>
      <c r="E16" s="1449"/>
      <c r="F16" s="1450"/>
    </row>
    <row r="17" spans="2:6" ht="31.5" customHeight="1">
      <c r="B17" s="1454"/>
      <c r="C17" s="1455"/>
      <c r="D17" s="1455"/>
      <c r="E17" s="1455"/>
      <c r="F17" s="1456"/>
    </row>
    <row r="18" spans="2:6">
      <c r="B18" s="1448" t="s">
        <v>542</v>
      </c>
      <c r="C18" s="1449"/>
      <c r="D18" s="1449"/>
      <c r="E18" s="1449"/>
      <c r="F18" s="1450"/>
    </row>
    <row r="19" spans="2:6" ht="23.25" customHeight="1">
      <c r="B19" s="1448" t="s">
        <v>1644</v>
      </c>
      <c r="C19" s="1449"/>
      <c r="D19" s="1449"/>
      <c r="E19" s="1449"/>
      <c r="F19" s="1450"/>
    </row>
    <row r="20" spans="2:6" ht="40.5" customHeight="1" thickBot="1">
      <c r="B20" s="1451"/>
      <c r="C20" s="1452"/>
      <c r="D20" s="1452"/>
      <c r="E20" s="1452"/>
      <c r="F20" s="1453"/>
    </row>
    <row r="21" spans="2:6">
      <c r="B21" s="71" t="s">
        <v>0</v>
      </c>
    </row>
  </sheetData>
  <mergeCells count="13">
    <mergeCell ref="E5:F5"/>
    <mergeCell ref="E6:F6"/>
    <mergeCell ref="B16:F16"/>
    <mergeCell ref="B17:F17"/>
    <mergeCell ref="B18:F18"/>
    <mergeCell ref="B19:F19"/>
    <mergeCell ref="B20:F20"/>
    <mergeCell ref="B14:F15"/>
    <mergeCell ref="B8:F8"/>
    <mergeCell ref="B9:F9"/>
    <mergeCell ref="B10:F10"/>
    <mergeCell ref="B11:F12"/>
    <mergeCell ref="B13:F13"/>
  </mergeCells>
  <pageMargins left="0.31496062992125984" right="0.31496062992125984" top="0.35433070866141736" bottom="0.35433070866141736" header="0.31496062992125984" footer="0.31496062992125984"/>
  <pageSetup paperSize="9" scale="9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showZeros="0" topLeftCell="B10" workbookViewId="0">
      <selection activeCell="H33" sqref="H33"/>
    </sheetView>
  </sheetViews>
  <sheetFormatPr baseColWidth="10" defaultRowHeight="12"/>
  <cols>
    <col min="1" max="1" width="68.42578125" style="87" customWidth="1"/>
    <col min="2" max="2" width="15" style="87" bestFit="1" customWidth="1"/>
    <col min="3" max="3" width="15.7109375" style="87" customWidth="1"/>
    <col min="4" max="4" width="15.42578125" style="87" customWidth="1"/>
    <col min="5" max="5" width="14" style="87" customWidth="1"/>
    <col min="6" max="6" width="13.7109375" style="87" customWidth="1"/>
    <col min="7" max="7" width="13.5703125" style="87" customWidth="1"/>
    <col min="8" max="8" width="17.28515625" style="87" customWidth="1"/>
    <col min="9" max="16384" width="11.42578125" style="87"/>
  </cols>
  <sheetData>
    <row r="1" spans="1:11">
      <c r="A1" s="113"/>
    </row>
    <row r="2" spans="1:11">
      <c r="A2" s="113"/>
    </row>
    <row r="3" spans="1:11">
      <c r="A3" s="113"/>
    </row>
    <row r="4" spans="1:11">
      <c r="A4" s="113"/>
    </row>
    <row r="5" spans="1:11" ht="14.25">
      <c r="A5" s="870" t="str">
        <f>_soNom</f>
        <v>Cecotra</v>
      </c>
      <c r="E5" s="1342" t="str">
        <f>_ExerClos</f>
        <v>Exercice clos le 31/12/2025</v>
      </c>
      <c r="F5" s="1342"/>
      <c r="G5" s="1342"/>
    </row>
    <row r="6" spans="1:11" ht="15" customHeight="1">
      <c r="A6" s="6" t="str">
        <f>_soId</f>
        <v> 3201810353457</v>
      </c>
      <c r="E6" s="1341" t="str">
        <f>_Duree</f>
        <v>Durée (en mois) 12</v>
      </c>
      <c r="F6" s="1341"/>
      <c r="G6" s="1341"/>
    </row>
    <row r="8" spans="1:11" ht="15">
      <c r="A8" s="125" t="s">
        <v>539</v>
      </c>
      <c r="B8" s="1470" t="s">
        <v>1507</v>
      </c>
      <c r="C8" s="1470"/>
      <c r="D8" s="1470"/>
      <c r="E8" s="125"/>
      <c r="F8" s="125"/>
      <c r="G8" s="125"/>
      <c r="H8" s="125"/>
    </row>
    <row r="9" spans="1:11" ht="12.75">
      <c r="A9" s="1469" t="s">
        <v>353</v>
      </c>
      <c r="B9" s="1469"/>
      <c r="C9" s="1469"/>
      <c r="D9" s="1469"/>
      <c r="E9" s="1469"/>
      <c r="F9" s="1469"/>
      <c r="G9" s="1469"/>
      <c r="H9" s="1469"/>
    </row>
    <row r="10" spans="1:11" ht="12.75" thickBot="1">
      <c r="A10" s="1468"/>
      <c r="B10" s="1468"/>
      <c r="C10" s="1468"/>
      <c r="D10" s="1468"/>
      <c r="E10" s="1468"/>
      <c r="F10" s="1468"/>
      <c r="G10" s="1468"/>
      <c r="H10" s="1468"/>
    </row>
    <row r="11" spans="1:11">
      <c r="A11" s="115" t="s">
        <v>538</v>
      </c>
      <c r="B11" s="123" t="s">
        <v>322</v>
      </c>
      <c r="C11" s="120" t="s">
        <v>323</v>
      </c>
      <c r="D11" s="123" t="s">
        <v>324</v>
      </c>
      <c r="E11" s="120" t="s">
        <v>325</v>
      </c>
      <c r="F11" s="123" t="s">
        <v>326</v>
      </c>
      <c r="G11" s="120" t="s">
        <v>324</v>
      </c>
      <c r="H11" s="123" t="s">
        <v>322</v>
      </c>
      <c r="K11" s="75"/>
    </row>
    <row r="12" spans="1:11">
      <c r="A12" s="116" t="s">
        <v>7</v>
      </c>
      <c r="B12" s="116" t="s">
        <v>327</v>
      </c>
      <c r="C12" s="114" t="s">
        <v>328</v>
      </c>
      <c r="D12" s="116" t="s">
        <v>329</v>
      </c>
      <c r="E12" s="114" t="s">
        <v>330</v>
      </c>
      <c r="F12" s="116" t="s">
        <v>331</v>
      </c>
      <c r="G12" s="114" t="s">
        <v>329</v>
      </c>
      <c r="H12" s="116" t="s">
        <v>332</v>
      </c>
      <c r="K12" s="74"/>
    </row>
    <row r="13" spans="1:11" ht="24">
      <c r="A13" s="1471" t="s">
        <v>333</v>
      </c>
      <c r="B13" s="116" t="s">
        <v>334</v>
      </c>
      <c r="C13" s="1473" t="s">
        <v>336</v>
      </c>
      <c r="D13" s="1466" t="s">
        <v>337</v>
      </c>
      <c r="E13" s="114" t="s">
        <v>338</v>
      </c>
      <c r="F13" s="1466" t="s">
        <v>340</v>
      </c>
      <c r="G13" s="114" t="s">
        <v>341</v>
      </c>
      <c r="H13" s="116" t="s">
        <v>343</v>
      </c>
    </row>
    <row r="14" spans="1:11" ht="12.75" thickBot="1">
      <c r="A14" s="1472"/>
      <c r="B14" s="124" t="s">
        <v>335</v>
      </c>
      <c r="C14" s="1474"/>
      <c r="D14" s="1467"/>
      <c r="E14" s="122" t="s">
        <v>339</v>
      </c>
      <c r="F14" s="1467"/>
      <c r="G14" s="122" t="s">
        <v>342</v>
      </c>
      <c r="H14" s="124" t="s">
        <v>335</v>
      </c>
    </row>
    <row r="15" spans="1:11" ht="18" customHeight="1">
      <c r="A15" s="117" t="s">
        <v>6</v>
      </c>
      <c r="B15" s="944">
        <f>SUM(B16:B19)</f>
        <v>0</v>
      </c>
      <c r="C15" s="944">
        <f t="shared" ref="C15:H15" si="0">SUM(C16:C19)</f>
        <v>0</v>
      </c>
      <c r="D15" s="944">
        <f t="shared" si="0"/>
        <v>0</v>
      </c>
      <c r="E15" s="944">
        <f t="shared" si="0"/>
        <v>0</v>
      </c>
      <c r="F15" s="944">
        <f t="shared" si="0"/>
        <v>0</v>
      </c>
      <c r="G15" s="944">
        <f t="shared" si="0"/>
        <v>0</v>
      </c>
      <c r="H15" s="944">
        <f t="shared" si="0"/>
        <v>0</v>
      </c>
    </row>
    <row r="16" spans="1:11" ht="18" customHeight="1">
      <c r="A16" s="92" t="s">
        <v>9</v>
      </c>
      <c r="B16" s="926"/>
      <c r="C16" s="940"/>
      <c r="D16" s="926"/>
      <c r="E16" s="940"/>
      <c r="F16" s="926"/>
      <c r="G16" s="940"/>
      <c r="H16" s="926"/>
    </row>
    <row r="17" spans="1:8" ht="18" customHeight="1">
      <c r="A17" s="92" t="s">
        <v>344</v>
      </c>
      <c r="B17" s="926"/>
      <c r="C17" s="940"/>
      <c r="D17" s="926"/>
      <c r="E17" s="940"/>
      <c r="F17" s="926"/>
      <c r="G17" s="940"/>
      <c r="H17" s="926"/>
    </row>
    <row r="18" spans="1:8" ht="18" customHeight="1">
      <c r="A18" s="92" t="s">
        <v>13</v>
      </c>
      <c r="B18" s="926"/>
      <c r="C18" s="940"/>
      <c r="D18" s="926"/>
      <c r="E18" s="940"/>
      <c r="F18" s="926"/>
      <c r="G18" s="940"/>
      <c r="H18" s="926"/>
    </row>
    <row r="19" spans="1:8" ht="18" customHeight="1">
      <c r="A19" s="92" t="s">
        <v>15</v>
      </c>
      <c r="B19" s="926"/>
      <c r="C19" s="940"/>
      <c r="D19" s="926"/>
      <c r="E19" s="940"/>
      <c r="F19" s="926"/>
      <c r="G19" s="940"/>
      <c r="H19" s="926"/>
    </row>
    <row r="20" spans="1:8" ht="18" customHeight="1">
      <c r="A20" s="91" t="s">
        <v>17</v>
      </c>
      <c r="B20" s="945">
        <f>SUM(B21:B27)</f>
        <v>4191653</v>
      </c>
      <c r="C20" s="945">
        <f>SUM(C21:C27)</f>
        <v>0</v>
      </c>
      <c r="D20" s="945">
        <f>SUM(D21:D27)</f>
        <v>0</v>
      </c>
      <c r="E20" s="945">
        <f>SUM(E21:E27)</f>
        <v>0</v>
      </c>
      <c r="F20" s="945">
        <f>SUM(F22:F27)</f>
        <v>0</v>
      </c>
      <c r="G20" s="945">
        <f>SUM(G21:G27)</f>
        <v>0</v>
      </c>
      <c r="H20" s="945">
        <f>SUM(H21:H27)</f>
        <v>4191653</v>
      </c>
    </row>
    <row r="21" spans="1:8" ht="18" customHeight="1">
      <c r="A21" s="92" t="s">
        <v>345</v>
      </c>
      <c r="B21" s="926"/>
      <c r="C21" s="940"/>
      <c r="D21" s="926"/>
      <c r="E21" s="940"/>
      <c r="F21" s="926"/>
      <c r="G21" s="940"/>
      <c r="H21" s="926"/>
    </row>
    <row r="22" spans="1:8" ht="18" customHeight="1">
      <c r="A22" s="92" t="s">
        <v>346</v>
      </c>
      <c r="B22" s="926"/>
      <c r="C22" s="940"/>
      <c r="D22" s="926"/>
      <c r="E22" s="940"/>
      <c r="F22" s="926"/>
      <c r="G22" s="940"/>
      <c r="H22" s="926">
        <f t="shared" ref="H22:H24" si="1">B22+C22+D22+E22-F22-G22</f>
        <v>0</v>
      </c>
    </row>
    <row r="23" spans="1:8" ht="18" customHeight="1">
      <c r="A23" s="92" t="s">
        <v>347</v>
      </c>
      <c r="B23" s="926"/>
      <c r="C23" s="940"/>
      <c r="D23" s="926"/>
      <c r="E23" s="940"/>
      <c r="F23" s="926"/>
      <c r="G23" s="940"/>
      <c r="H23" s="926"/>
    </row>
    <row r="24" spans="1:8" ht="18" customHeight="1">
      <c r="A24" s="92" t="s">
        <v>348</v>
      </c>
      <c r="B24" s="926"/>
      <c r="C24" s="940"/>
      <c r="D24" s="926"/>
      <c r="E24" s="940"/>
      <c r="F24" s="926"/>
      <c r="G24" s="940"/>
      <c r="H24" s="926">
        <f t="shared" si="1"/>
        <v>0</v>
      </c>
    </row>
    <row r="25" spans="1:8" ht="18" customHeight="1">
      <c r="A25" s="92" t="s">
        <v>25</v>
      </c>
      <c r="B25" s="926">
        <v>482083</v>
      </c>
      <c r="C25" s="940"/>
      <c r="D25" s="926"/>
      <c r="E25" s="940"/>
      <c r="F25" s="926"/>
      <c r="G25" s="940"/>
      <c r="H25" s="926">
        <v>482083</v>
      </c>
    </row>
    <row r="26" spans="1:8" ht="18" customHeight="1">
      <c r="A26" s="92" t="s">
        <v>349</v>
      </c>
      <c r="B26" s="926">
        <v>965930</v>
      </c>
      <c r="C26" s="940"/>
      <c r="D26" s="926"/>
      <c r="E26" s="940"/>
      <c r="F26" s="926"/>
      <c r="G26" s="940"/>
      <c r="H26" s="926">
        <v>965930</v>
      </c>
    </row>
    <row r="27" spans="1:8" ht="18" customHeight="1">
      <c r="A27" s="92" t="s">
        <v>29</v>
      </c>
      <c r="B27" s="926">
        <v>2743640</v>
      </c>
      <c r="C27" s="940"/>
      <c r="D27" s="926"/>
      <c r="E27" s="940"/>
      <c r="F27" s="926"/>
      <c r="G27" s="940"/>
      <c r="H27" s="926">
        <v>2743640</v>
      </c>
    </row>
    <row r="28" spans="1:8" ht="18" customHeight="1">
      <c r="A28" s="91" t="s">
        <v>350</v>
      </c>
      <c r="B28" s="945">
        <f>SUM(B29:B30)</f>
        <v>0</v>
      </c>
      <c r="C28" s="945">
        <f>SUM(C29:C30)</f>
        <v>0</v>
      </c>
      <c r="D28" s="945">
        <f t="shared" ref="D28:H28" si="2">SUM(D29:D30)</f>
        <v>0</v>
      </c>
      <c r="E28" s="945">
        <f t="shared" si="2"/>
        <v>0</v>
      </c>
      <c r="F28" s="945">
        <f t="shared" si="2"/>
        <v>0</v>
      </c>
      <c r="G28" s="945">
        <f t="shared" si="2"/>
        <v>0</v>
      </c>
      <c r="H28" s="945">
        <f t="shared" si="2"/>
        <v>0</v>
      </c>
    </row>
    <row r="29" spans="1:8" ht="18" customHeight="1">
      <c r="A29" s="92" t="s">
        <v>351</v>
      </c>
      <c r="B29" s="926"/>
      <c r="C29" s="940"/>
      <c r="D29" s="926"/>
      <c r="E29" s="940"/>
      <c r="F29" s="926"/>
      <c r="G29" s="940"/>
      <c r="H29" s="926"/>
    </row>
    <row r="30" spans="1:8" ht="18" customHeight="1">
      <c r="A30" s="92" t="s">
        <v>352</v>
      </c>
      <c r="B30" s="926"/>
      <c r="C30" s="940"/>
      <c r="D30" s="926"/>
      <c r="E30" s="940"/>
      <c r="F30" s="926"/>
      <c r="G30" s="940"/>
      <c r="H30" s="926"/>
    </row>
    <row r="31" spans="1:8" ht="18" customHeight="1">
      <c r="A31" s="91" t="s">
        <v>33</v>
      </c>
      <c r="B31" s="945">
        <f>SUM(B32:B33)</f>
        <v>562500</v>
      </c>
      <c r="C31" s="945">
        <f t="shared" ref="C31:H31" si="3">SUM(C32:C33)</f>
        <v>0</v>
      </c>
      <c r="D31" s="945">
        <f t="shared" si="3"/>
        <v>0</v>
      </c>
      <c r="E31" s="945">
        <f t="shared" si="3"/>
        <v>0</v>
      </c>
      <c r="F31" s="945">
        <f t="shared" si="3"/>
        <v>0</v>
      </c>
      <c r="G31" s="945">
        <f t="shared" si="3"/>
        <v>0</v>
      </c>
      <c r="H31" s="945">
        <f t="shared" si="3"/>
        <v>562500</v>
      </c>
    </row>
    <row r="32" spans="1:8" ht="18" customHeight="1">
      <c r="A32" s="92" t="s">
        <v>35</v>
      </c>
      <c r="B32" s="926"/>
      <c r="C32" s="940"/>
      <c r="D32" s="926"/>
      <c r="E32" s="940"/>
      <c r="F32" s="926"/>
      <c r="G32" s="940"/>
      <c r="H32" s="926"/>
    </row>
    <row r="33" spans="1:8" ht="18" customHeight="1">
      <c r="A33" s="92" t="s">
        <v>37</v>
      </c>
      <c r="B33" s="926">
        <v>562500</v>
      </c>
      <c r="C33" s="940"/>
      <c r="D33" s="926"/>
      <c r="E33" s="940"/>
      <c r="F33" s="926"/>
      <c r="G33" s="940"/>
      <c r="H33" s="926">
        <v>562500</v>
      </c>
    </row>
    <row r="34" spans="1:8" ht="18" customHeight="1" thickBot="1">
      <c r="A34" s="97" t="s">
        <v>64</v>
      </c>
      <c r="B34" s="946">
        <f>B15+B20+B28+B31</f>
        <v>4754153</v>
      </c>
      <c r="C34" s="946">
        <f t="shared" ref="C34:H34" si="4">C15+C20+C28+C31</f>
        <v>0</v>
      </c>
      <c r="D34" s="946">
        <f t="shared" si="4"/>
        <v>0</v>
      </c>
      <c r="E34" s="946">
        <f t="shared" si="4"/>
        <v>0</v>
      </c>
      <c r="F34" s="946">
        <f t="shared" si="4"/>
        <v>0</v>
      </c>
      <c r="G34" s="946">
        <f t="shared" si="4"/>
        <v>0</v>
      </c>
      <c r="H34" s="946">
        <f t="shared" si="4"/>
        <v>4754153</v>
      </c>
    </row>
    <row r="36" spans="1:8">
      <c r="A36" s="1" t="s">
        <v>354</v>
      </c>
    </row>
    <row r="37" spans="1:8" ht="13.5" customHeight="1">
      <c r="A37" s="1465"/>
      <c r="B37" s="1465"/>
      <c r="C37" s="1465"/>
      <c r="D37" s="1465"/>
      <c r="E37" s="1465"/>
      <c r="F37" s="1465"/>
      <c r="G37" s="1465"/>
      <c r="H37" s="1465"/>
    </row>
    <row r="38" spans="1:8" ht="15.75" customHeight="1">
      <c r="A38" s="805"/>
      <c r="B38" s="10"/>
      <c r="C38" s="10"/>
      <c r="D38" s="10"/>
      <c r="E38" s="10"/>
      <c r="F38" s="10"/>
      <c r="G38" s="10"/>
    </row>
    <row r="39" spans="1:8">
      <c r="A39" s="805"/>
      <c r="B39" s="10"/>
      <c r="C39" s="10"/>
      <c r="D39" s="10"/>
      <c r="E39" s="10"/>
      <c r="F39" s="10"/>
      <c r="G39" s="10"/>
    </row>
    <row r="40" spans="1:8">
      <c r="A40" s="806"/>
    </row>
  </sheetData>
  <mergeCells count="10">
    <mergeCell ref="E5:G5"/>
    <mergeCell ref="E6:G6"/>
    <mergeCell ref="A37:H37"/>
    <mergeCell ref="F13:F14"/>
    <mergeCell ref="A10:H10"/>
    <mergeCell ref="A9:H9"/>
    <mergeCell ref="B8:D8"/>
    <mergeCell ref="A13:A14"/>
    <mergeCell ref="C13:C14"/>
    <mergeCell ref="D13:D1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1"/>
  <sheetViews>
    <sheetView showZeros="0" topLeftCell="A19" workbookViewId="0">
      <selection activeCell="A25" sqref="A25:XFD25"/>
    </sheetView>
  </sheetViews>
  <sheetFormatPr baseColWidth="10" defaultRowHeight="12"/>
  <cols>
    <col min="1" max="1" width="44.85546875" style="87" customWidth="1"/>
    <col min="2" max="3" width="11.42578125" style="87"/>
    <col min="4" max="4" width="11.42578125" style="87" customWidth="1"/>
    <col min="5" max="5" width="13.85546875" style="87" customWidth="1"/>
    <col min="6" max="7" width="11.42578125" style="87"/>
    <col min="8" max="8" width="9.7109375" style="87" customWidth="1"/>
    <col min="9" max="16384" width="11.42578125" style="87"/>
  </cols>
  <sheetData>
    <row r="3" spans="1:9">
      <c r="A3" s="129"/>
    </row>
    <row r="4" spans="1:9">
      <c r="A4" s="129"/>
    </row>
    <row r="5" spans="1:9" ht="14.25">
      <c r="A5" s="4" t="str">
        <f>_soNom</f>
        <v>Cecotra</v>
      </c>
      <c r="E5" s="1342" t="str">
        <f>_ExerClos</f>
        <v>Exercice clos le 31/12/2025</v>
      </c>
      <c r="F5" s="1342"/>
      <c r="G5" s="1342"/>
    </row>
    <row r="6" spans="1:9" ht="15" customHeight="1">
      <c r="A6" s="6" t="str">
        <f>_soId</f>
        <v> 3201810353457</v>
      </c>
      <c r="E6" s="1341" t="str">
        <f>_Duree</f>
        <v>Durée (en mois) 12</v>
      </c>
      <c r="F6" s="1341"/>
      <c r="G6" s="1341"/>
    </row>
    <row r="7" spans="1:9">
      <c r="A7" s="129"/>
    </row>
    <row r="8" spans="1:9" ht="20.100000000000001" customHeight="1">
      <c r="A8" s="1460" t="s">
        <v>543</v>
      </c>
      <c r="B8" s="1460"/>
      <c r="C8" s="1460"/>
      <c r="D8" s="1460"/>
      <c r="E8" s="1460"/>
      <c r="F8" s="1460"/>
      <c r="G8" s="1460"/>
      <c r="H8" s="1460"/>
      <c r="I8" s="1460"/>
    </row>
    <row r="9" spans="1:9" ht="20.100000000000001" customHeight="1" thickBot="1">
      <c r="A9" s="1486" t="s">
        <v>384</v>
      </c>
      <c r="B9" s="1486"/>
      <c r="C9" s="1486"/>
      <c r="D9" s="1486"/>
      <c r="E9" s="1486"/>
      <c r="F9" s="1486"/>
      <c r="G9" s="1486"/>
      <c r="H9" s="1486"/>
      <c r="I9" s="1486"/>
    </row>
    <row r="10" spans="1:9" ht="9.9499999999999993" customHeight="1">
      <c r="A10" s="119" t="s">
        <v>355</v>
      </c>
      <c r="B10" s="119" t="s">
        <v>356</v>
      </c>
      <c r="C10" s="1476" t="s">
        <v>360</v>
      </c>
      <c r="D10" s="1479" t="s">
        <v>361</v>
      </c>
      <c r="E10" s="1480"/>
      <c r="F10" s="1481"/>
      <c r="G10" s="1479" t="s">
        <v>362</v>
      </c>
      <c r="H10" s="1481"/>
      <c r="I10" s="1484" t="s">
        <v>363</v>
      </c>
    </row>
    <row r="11" spans="1:9" ht="9.9499999999999993" customHeight="1">
      <c r="A11" s="118"/>
      <c r="B11" s="118" t="s">
        <v>357</v>
      </c>
      <c r="C11" s="1477"/>
      <c r="D11" s="1482"/>
      <c r="E11" s="1473"/>
      <c r="F11" s="1483"/>
      <c r="G11" s="1482"/>
      <c r="H11" s="1483"/>
      <c r="I11" s="1485"/>
    </row>
    <row r="12" spans="1:9" ht="9.9499999999999993" customHeight="1">
      <c r="A12" s="118"/>
      <c r="B12" s="118" t="s">
        <v>358</v>
      </c>
      <c r="C12" s="1477"/>
      <c r="D12" s="1482"/>
      <c r="E12" s="1473"/>
      <c r="F12" s="1483"/>
      <c r="G12" s="1482"/>
      <c r="H12" s="1483"/>
      <c r="I12" s="1485"/>
    </row>
    <row r="13" spans="1:9" ht="9.9499999999999993" customHeight="1">
      <c r="A13" s="118"/>
      <c r="B13" s="118" t="s">
        <v>359</v>
      </c>
      <c r="C13" s="1477"/>
      <c r="D13" s="1482"/>
      <c r="E13" s="1473"/>
      <c r="F13" s="1483"/>
      <c r="G13" s="1482"/>
      <c r="H13" s="1483"/>
      <c r="I13" s="1485"/>
    </row>
    <row r="14" spans="1:9" ht="9.9499999999999993" customHeight="1" thickBot="1">
      <c r="A14" s="118"/>
      <c r="B14" s="130"/>
      <c r="C14" s="1478"/>
      <c r="D14" s="1482"/>
      <c r="E14" s="1473"/>
      <c r="F14" s="1483"/>
      <c r="G14" s="1482"/>
      <c r="H14" s="1483"/>
      <c r="I14" s="1485"/>
    </row>
    <row r="15" spans="1:9" ht="9.9499999999999993" customHeight="1">
      <c r="A15" s="118"/>
      <c r="B15" s="130"/>
      <c r="C15" s="776" t="s">
        <v>364</v>
      </c>
      <c r="D15" s="132" t="s">
        <v>323</v>
      </c>
      <c r="E15" s="131" t="s">
        <v>368</v>
      </c>
      <c r="F15" s="780" t="s">
        <v>370</v>
      </c>
      <c r="G15" s="132" t="s">
        <v>375</v>
      </c>
      <c r="H15" s="133" t="s">
        <v>368</v>
      </c>
      <c r="I15" s="781" t="s">
        <v>364</v>
      </c>
    </row>
    <row r="16" spans="1:9" ht="9.9499999999999993" customHeight="1">
      <c r="A16" s="118"/>
      <c r="B16" s="130"/>
      <c r="C16" s="776" t="s">
        <v>365</v>
      </c>
      <c r="D16" s="777" t="s">
        <v>328</v>
      </c>
      <c r="E16" s="134" t="s">
        <v>369</v>
      </c>
      <c r="F16" s="778" t="s">
        <v>371</v>
      </c>
      <c r="G16" s="777" t="s">
        <v>331</v>
      </c>
      <c r="H16" s="135" t="s">
        <v>376</v>
      </c>
      <c r="I16" s="782" t="s">
        <v>332</v>
      </c>
    </row>
    <row r="17" spans="1:9" ht="9.9499999999999993" customHeight="1">
      <c r="A17" s="118"/>
      <c r="B17" s="130"/>
      <c r="C17" s="776" t="s">
        <v>366</v>
      </c>
      <c r="D17" s="777" t="s">
        <v>336</v>
      </c>
      <c r="E17" s="134"/>
      <c r="F17" s="778" t="s">
        <v>372</v>
      </c>
      <c r="G17" s="777" t="s">
        <v>340</v>
      </c>
      <c r="H17" s="135" t="s">
        <v>342</v>
      </c>
      <c r="I17" s="782" t="s">
        <v>377</v>
      </c>
    </row>
    <row r="18" spans="1:9" ht="9.9499999999999993" customHeight="1">
      <c r="A18" s="863" t="s">
        <v>333</v>
      </c>
      <c r="B18" s="130"/>
      <c r="C18" s="776" t="s">
        <v>367</v>
      </c>
      <c r="D18" s="783"/>
      <c r="E18" s="784"/>
      <c r="F18" s="778" t="s">
        <v>373</v>
      </c>
      <c r="G18" s="783"/>
      <c r="H18" s="135" t="s">
        <v>0</v>
      </c>
      <c r="I18" s="782" t="s">
        <v>378</v>
      </c>
    </row>
    <row r="19" spans="1:9" ht="9.9499999999999993" customHeight="1" thickBot="1">
      <c r="A19" s="136"/>
      <c r="B19" s="137"/>
      <c r="C19" s="138" t="s">
        <v>378</v>
      </c>
      <c r="D19" s="785"/>
      <c r="E19" s="786"/>
      <c r="F19" s="787" t="s">
        <v>374</v>
      </c>
      <c r="G19" s="785"/>
      <c r="H19" s="788"/>
      <c r="I19" s="789"/>
    </row>
    <row r="20" spans="1:9" ht="20.100000000000001" customHeight="1">
      <c r="A20" s="139" t="s">
        <v>379</v>
      </c>
      <c r="B20" s="479" t="s">
        <v>0</v>
      </c>
      <c r="C20" s="947"/>
      <c r="D20" s="948"/>
      <c r="E20" s="949"/>
      <c r="F20" s="950"/>
      <c r="G20" s="948"/>
      <c r="H20" s="950"/>
      <c r="I20" s="951"/>
    </row>
    <row r="21" spans="1:9" ht="20.100000000000001" customHeight="1">
      <c r="A21" s="139" t="s">
        <v>13</v>
      </c>
      <c r="B21" s="480" t="s">
        <v>0</v>
      </c>
      <c r="C21" s="952"/>
      <c r="D21" s="953"/>
      <c r="E21" s="954"/>
      <c r="F21" s="955"/>
      <c r="G21" s="953"/>
      <c r="H21" s="955"/>
      <c r="I21" s="956"/>
    </row>
    <row r="22" spans="1:9" ht="20.100000000000001" customHeight="1" thickBot="1">
      <c r="A22" s="139" t="s">
        <v>15</v>
      </c>
      <c r="B22" s="481" t="s">
        <v>0</v>
      </c>
      <c r="C22" s="957"/>
      <c r="D22" s="958"/>
      <c r="E22" s="959"/>
      <c r="F22" s="960"/>
      <c r="G22" s="958"/>
      <c r="H22" s="960"/>
      <c r="I22" s="961"/>
    </row>
    <row r="23" spans="1:9" ht="20.100000000000001" customHeight="1" thickBot="1">
      <c r="A23" s="98" t="s">
        <v>380</v>
      </c>
      <c r="B23" s="482"/>
      <c r="C23" s="962">
        <f t="shared" ref="C23:H23" si="0">SUM(C20:C22)</f>
        <v>0</v>
      </c>
      <c r="D23" s="962">
        <f t="shared" si="0"/>
        <v>0</v>
      </c>
      <c r="E23" s="962">
        <f t="shared" si="0"/>
        <v>0</v>
      </c>
      <c r="F23" s="962">
        <f t="shared" si="0"/>
        <v>0</v>
      </c>
      <c r="G23" s="962">
        <f t="shared" si="0"/>
        <v>0</v>
      </c>
      <c r="H23" s="962">
        <f t="shared" si="0"/>
        <v>0</v>
      </c>
      <c r="I23" s="962">
        <f>C23+D23+E23+F23-G23-H23</f>
        <v>0</v>
      </c>
    </row>
    <row r="24" spans="1:9" ht="20.100000000000001" customHeight="1">
      <c r="A24" s="139" t="s">
        <v>381</v>
      </c>
      <c r="B24" s="484" t="s">
        <v>7</v>
      </c>
      <c r="C24" s="963"/>
      <c r="D24" s="964"/>
      <c r="E24" s="924"/>
      <c r="F24" s="965"/>
      <c r="G24" s="964"/>
      <c r="H24" s="965"/>
      <c r="I24" s="966"/>
    </row>
    <row r="25" spans="1:9" ht="20.100000000000001" customHeight="1">
      <c r="A25" s="139" t="s">
        <v>382</v>
      </c>
      <c r="B25" s="485" t="s">
        <v>7</v>
      </c>
      <c r="C25" s="967"/>
      <c r="D25" s="968"/>
      <c r="E25" s="928"/>
      <c r="F25" s="969"/>
      <c r="G25" s="968"/>
      <c r="H25" s="969"/>
      <c r="I25" s="970"/>
    </row>
    <row r="26" spans="1:9" ht="20.100000000000001" customHeight="1">
      <c r="A26" s="139" t="s">
        <v>25</v>
      </c>
      <c r="B26" s="485" t="s">
        <v>7</v>
      </c>
      <c r="C26" s="967"/>
      <c r="D26" s="968"/>
      <c r="E26" s="928"/>
      <c r="F26" s="969"/>
      <c r="G26" s="968"/>
      <c r="H26" s="969"/>
      <c r="I26" s="970"/>
    </row>
    <row r="27" spans="1:9" ht="20.100000000000001" customHeight="1">
      <c r="A27" s="139" t="s">
        <v>27</v>
      </c>
      <c r="B27" s="485" t="s">
        <v>7</v>
      </c>
      <c r="C27" s="967"/>
      <c r="D27" s="968"/>
      <c r="E27" s="928"/>
      <c r="F27" s="969"/>
      <c r="G27" s="968"/>
      <c r="H27" s="969"/>
      <c r="I27" s="970"/>
    </row>
    <row r="28" spans="1:9" ht="20.100000000000001" customHeight="1" thickBot="1">
      <c r="A28" s="139" t="s">
        <v>29</v>
      </c>
      <c r="B28" s="486" t="s">
        <v>7</v>
      </c>
      <c r="C28" s="971"/>
      <c r="D28" s="972"/>
      <c r="E28" s="932"/>
      <c r="F28" s="973"/>
      <c r="G28" s="972"/>
      <c r="H28" s="973"/>
      <c r="I28" s="974"/>
    </row>
    <row r="29" spans="1:9" ht="20.100000000000001" customHeight="1" thickBot="1">
      <c r="A29" s="98" t="s">
        <v>383</v>
      </c>
      <c r="B29" s="487"/>
      <c r="C29" s="975">
        <f t="shared" ref="C29:H29" si="1">SUM(C24:C28)</f>
        <v>0</v>
      </c>
      <c r="D29" s="975">
        <f t="shared" si="1"/>
        <v>0</v>
      </c>
      <c r="E29" s="975">
        <f t="shared" si="1"/>
        <v>0</v>
      </c>
      <c r="F29" s="975">
        <f t="shared" si="1"/>
        <v>0</v>
      </c>
      <c r="G29" s="975">
        <f t="shared" si="1"/>
        <v>0</v>
      </c>
      <c r="H29" s="975">
        <f t="shared" si="1"/>
        <v>0</v>
      </c>
      <c r="I29" s="976">
        <f>C29+D29+E29+F29-G29-H29</f>
        <v>0</v>
      </c>
    </row>
    <row r="30" spans="1:9" ht="20.100000000000001" customHeight="1">
      <c r="A30" s="140" t="s">
        <v>0</v>
      </c>
      <c r="B30" s="488" t="s">
        <v>0</v>
      </c>
      <c r="C30" s="977"/>
      <c r="D30" s="978"/>
      <c r="E30" s="979"/>
      <c r="F30" s="980"/>
      <c r="G30" s="978"/>
      <c r="H30" s="980"/>
      <c r="I30" s="981"/>
    </row>
    <row r="31" spans="1:9" ht="20.100000000000001" customHeight="1" thickBot="1">
      <c r="A31" s="141" t="s">
        <v>64</v>
      </c>
      <c r="B31" s="489" t="s">
        <v>0</v>
      </c>
      <c r="C31" s="982">
        <f>+C23+C29</f>
        <v>0</v>
      </c>
      <c r="D31" s="982">
        <f t="shared" ref="D31:H31" si="2">+D23+D29</f>
        <v>0</v>
      </c>
      <c r="E31" s="982">
        <f t="shared" si="2"/>
        <v>0</v>
      </c>
      <c r="F31" s="982">
        <f t="shared" si="2"/>
        <v>0</v>
      </c>
      <c r="G31" s="982">
        <f t="shared" si="2"/>
        <v>0</v>
      </c>
      <c r="H31" s="982">
        <f t="shared" si="2"/>
        <v>0</v>
      </c>
      <c r="I31" s="983">
        <f>+C31+D31+E31+F31-G31-H31</f>
        <v>0</v>
      </c>
    </row>
    <row r="33" spans="1:9">
      <c r="A33" s="142"/>
    </row>
    <row r="34" spans="1:9" ht="13.5">
      <c r="A34" s="1487" t="s">
        <v>544</v>
      </c>
      <c r="B34" s="1487"/>
      <c r="C34" s="1487"/>
      <c r="D34" s="1487"/>
      <c r="E34" s="1487"/>
      <c r="F34" s="1487"/>
      <c r="G34" s="1487"/>
      <c r="H34" s="1487"/>
    </row>
    <row r="35" spans="1:9">
      <c r="A35" s="143"/>
    </row>
    <row r="36" spans="1:9">
      <c r="A36" s="143" t="s">
        <v>385</v>
      </c>
    </row>
    <row r="37" spans="1:9">
      <c r="A37" s="1475" t="s">
        <v>386</v>
      </c>
      <c r="B37" s="1475"/>
      <c r="C37" s="1475"/>
      <c r="D37" s="1475"/>
      <c r="E37" s="1475"/>
      <c r="F37" s="1475"/>
      <c r="G37" s="1475"/>
      <c r="H37" s="1475"/>
      <c r="I37" s="1475"/>
    </row>
    <row r="38" spans="1:9">
      <c r="A38" s="144"/>
    </row>
    <row r="39" spans="1:9">
      <c r="A39" s="144"/>
    </row>
    <row r="40" spans="1:9">
      <c r="A40" s="144"/>
    </row>
    <row r="41" spans="1:9">
      <c r="A41" s="144"/>
    </row>
  </sheetData>
  <mergeCells count="10">
    <mergeCell ref="E5:G5"/>
    <mergeCell ref="E6:G6"/>
    <mergeCell ref="A9:I9"/>
    <mergeCell ref="A8:I8"/>
    <mergeCell ref="A34:H34"/>
    <mergeCell ref="A37:I37"/>
    <mergeCell ref="C10:C14"/>
    <mergeCell ref="D10:F14"/>
    <mergeCell ref="G10:H14"/>
    <mergeCell ref="I10:I14"/>
  </mergeCells>
  <pageMargins left="0.70866141732283472" right="0.70866141732283472" top="0.74803149606299213" bottom="0.74803149606299213" header="0.31496062992125984" footer="0.31496062992125984"/>
  <pageSetup paperSize="9" scale="9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3"/>
  <sheetViews>
    <sheetView showZeros="0" topLeftCell="A5" workbookViewId="0">
      <selection activeCell="B15" sqref="B15:E29"/>
    </sheetView>
  </sheetViews>
  <sheetFormatPr baseColWidth="10" defaultRowHeight="12"/>
  <cols>
    <col min="1" max="1" width="49.42578125" style="87" customWidth="1"/>
    <col min="2" max="2" width="25.7109375" style="87" customWidth="1"/>
    <col min="3" max="3" width="17.5703125" style="87" customWidth="1"/>
    <col min="4" max="4" width="22.5703125" style="87" customWidth="1"/>
    <col min="5" max="5" width="21.85546875" style="87" customWidth="1"/>
    <col min="6" max="16384" width="11.42578125" style="87"/>
  </cols>
  <sheetData>
    <row r="2" spans="1:5">
      <c r="A2" s="196"/>
    </row>
    <row r="3" spans="1:5">
      <c r="A3" s="197"/>
    </row>
    <row r="4" spans="1:5">
      <c r="A4" s="197"/>
    </row>
    <row r="5" spans="1:5" ht="14.25">
      <c r="A5" s="4" t="str">
        <f>_soNom</f>
        <v>Cecotra</v>
      </c>
      <c r="B5" s="2"/>
      <c r="D5" s="1342" t="str">
        <f>_ExerClos</f>
        <v>Exercice clos le 31/12/2025</v>
      </c>
      <c r="E5" s="1342"/>
    </row>
    <row r="6" spans="1:5" ht="15" customHeight="1">
      <c r="A6" s="6" t="str">
        <f>_soId</f>
        <v> 3201810353457</v>
      </c>
      <c r="B6" s="527"/>
      <c r="D6" s="1341" t="str">
        <f>_Duree</f>
        <v>Durée (en mois) 12</v>
      </c>
      <c r="E6" s="1341"/>
    </row>
    <row r="7" spans="1:5">
      <c r="A7" s="198"/>
    </row>
    <row r="8" spans="1:5" ht="14.25">
      <c r="A8" s="1488" t="s">
        <v>591</v>
      </c>
      <c r="B8" s="1488"/>
      <c r="C8" s="1488"/>
      <c r="D8" s="1488"/>
      <c r="E8" s="1488"/>
    </row>
    <row r="9" spans="1:5" ht="14.25">
      <c r="A9" s="1489" t="s">
        <v>570</v>
      </c>
      <c r="B9" s="1489"/>
      <c r="C9" s="1489"/>
      <c r="D9" s="1489"/>
      <c r="E9" s="1489"/>
    </row>
    <row r="10" spans="1:5" ht="6.75" customHeight="1" thickBot="1"/>
    <row r="11" spans="1:5">
      <c r="A11" s="123" t="s">
        <v>355</v>
      </c>
      <c r="B11" s="1490" t="s">
        <v>220</v>
      </c>
      <c r="C11" s="1492" t="s">
        <v>230</v>
      </c>
      <c r="D11" s="1492" t="s">
        <v>239</v>
      </c>
      <c r="E11" s="1492" t="s">
        <v>571</v>
      </c>
    </row>
    <row r="12" spans="1:5">
      <c r="A12" s="186"/>
      <c r="B12" s="1491"/>
      <c r="C12" s="1493"/>
      <c r="D12" s="1493"/>
      <c r="E12" s="1493"/>
    </row>
    <row r="13" spans="1:5">
      <c r="A13" s="186"/>
      <c r="B13" s="1491"/>
      <c r="C13" s="1493"/>
      <c r="D13" s="1493"/>
      <c r="E13" s="1493"/>
    </row>
    <row r="14" spans="1:5" ht="48.75" thickBot="1">
      <c r="A14" s="207" t="s">
        <v>333</v>
      </c>
      <c r="B14" s="199" t="s">
        <v>572</v>
      </c>
      <c r="C14" s="199" t="s">
        <v>573</v>
      </c>
      <c r="D14" s="199" t="s">
        <v>574</v>
      </c>
      <c r="E14" s="199" t="s">
        <v>575</v>
      </c>
    </row>
    <row r="15" spans="1:5" ht="21.95" customHeight="1" thickBot="1">
      <c r="A15" s="200" t="s">
        <v>576</v>
      </c>
      <c r="B15" s="984"/>
      <c r="C15" s="984"/>
      <c r="D15" s="984"/>
      <c r="E15" s="984">
        <f>B15+C15-D15</f>
        <v>0</v>
      </c>
    </row>
    <row r="16" spans="1:5" ht="21.95" customHeight="1" thickBot="1">
      <c r="A16" s="200" t="s">
        <v>577</v>
      </c>
      <c r="B16" s="984"/>
      <c r="C16" s="984"/>
      <c r="D16" s="984"/>
      <c r="E16" s="984">
        <f t="shared" ref="E16:E18" si="0">B16+C16-D16</f>
        <v>0</v>
      </c>
    </row>
    <row r="17" spans="1:5" ht="21.95" customHeight="1" thickBot="1">
      <c r="A17" s="200" t="s">
        <v>578</v>
      </c>
      <c r="B17" s="984"/>
      <c r="C17" s="984"/>
      <c r="D17" s="984"/>
      <c r="E17" s="984">
        <f t="shared" si="0"/>
        <v>0</v>
      </c>
    </row>
    <row r="18" spans="1:5" ht="21.95" customHeight="1" thickBot="1">
      <c r="A18" s="201" t="s">
        <v>579</v>
      </c>
      <c r="B18" s="984"/>
      <c r="C18" s="984"/>
      <c r="D18" s="984"/>
      <c r="E18" s="984">
        <f t="shared" si="0"/>
        <v>0</v>
      </c>
    </row>
    <row r="19" spans="1:5" ht="21.95" customHeight="1" thickBot="1">
      <c r="A19" s="202" t="s">
        <v>580</v>
      </c>
      <c r="B19" s="985">
        <f>SUM(B15:B18)</f>
        <v>0</v>
      </c>
      <c r="C19" s="985">
        <f t="shared" ref="C19:E19" si="1">SUM(C15:C18)</f>
        <v>0</v>
      </c>
      <c r="D19" s="985">
        <f t="shared" si="1"/>
        <v>0</v>
      </c>
      <c r="E19" s="985">
        <f t="shared" si="1"/>
        <v>0</v>
      </c>
    </row>
    <row r="20" spans="1:5" ht="21.95" customHeight="1" thickBot="1">
      <c r="A20" s="200" t="s">
        <v>581</v>
      </c>
      <c r="B20" s="984"/>
      <c r="C20" s="984"/>
      <c r="D20" s="984"/>
      <c r="E20" s="984">
        <f>B20+C20-D20</f>
        <v>0</v>
      </c>
    </row>
    <row r="21" spans="1:5" ht="21.95" customHeight="1" thickBot="1">
      <c r="A21" s="200" t="s">
        <v>582</v>
      </c>
      <c r="B21" s="984"/>
      <c r="C21" s="984"/>
      <c r="D21" s="984"/>
      <c r="E21" s="984">
        <f t="shared" ref="E21:E26" si="2">B21+C21-D21</f>
        <v>0</v>
      </c>
    </row>
    <row r="22" spans="1:5" ht="21.95" customHeight="1" thickBot="1">
      <c r="A22" s="200" t="s">
        <v>583</v>
      </c>
      <c r="B22" s="984"/>
      <c r="C22" s="984"/>
      <c r="D22" s="984"/>
      <c r="E22" s="984">
        <f t="shared" si="2"/>
        <v>0</v>
      </c>
    </row>
    <row r="23" spans="1:5" ht="21.95" customHeight="1" thickBot="1">
      <c r="A23" s="200" t="s">
        <v>584</v>
      </c>
      <c r="B23" s="984"/>
      <c r="C23" s="984"/>
      <c r="D23" s="984"/>
      <c r="E23" s="984">
        <f t="shared" si="2"/>
        <v>0</v>
      </c>
    </row>
    <row r="24" spans="1:5" ht="21.95" customHeight="1" thickBot="1">
      <c r="A24" s="200" t="s">
        <v>585</v>
      </c>
      <c r="B24" s="984">
        <v>96416</v>
      </c>
      <c r="C24" s="984"/>
      <c r="D24" s="984"/>
      <c r="E24" s="984">
        <f t="shared" si="2"/>
        <v>96416</v>
      </c>
    </row>
    <row r="25" spans="1:5" ht="21.95" customHeight="1" thickBot="1">
      <c r="A25" s="200" t="s">
        <v>586</v>
      </c>
      <c r="B25" s="984">
        <v>193186</v>
      </c>
      <c r="C25" s="984"/>
      <c r="D25" s="984"/>
      <c r="E25" s="984">
        <f t="shared" si="2"/>
        <v>193186</v>
      </c>
    </row>
    <row r="26" spans="1:5" ht="21.95" customHeight="1" thickBot="1">
      <c r="A26" s="201" t="s">
        <v>587</v>
      </c>
      <c r="B26" s="984">
        <v>1097456</v>
      </c>
      <c r="C26" s="984"/>
      <c r="D26" s="984"/>
      <c r="E26" s="984">
        <f t="shared" si="2"/>
        <v>1097456</v>
      </c>
    </row>
    <row r="27" spans="1:5" ht="21.95" customHeight="1" thickBot="1">
      <c r="A27" s="202" t="s">
        <v>588</v>
      </c>
      <c r="B27" s="985">
        <f>SUM(B20:B26)</f>
        <v>1387058</v>
      </c>
      <c r="C27" s="985">
        <f t="shared" ref="C27:E27" si="3">SUM(C20:C26)</f>
        <v>0</v>
      </c>
      <c r="D27" s="985">
        <f t="shared" si="3"/>
        <v>0</v>
      </c>
      <c r="E27" s="985">
        <f t="shared" si="3"/>
        <v>1387058</v>
      </c>
    </row>
    <row r="28" spans="1:5" ht="11.25" customHeight="1" thickBot="1">
      <c r="A28" s="203"/>
      <c r="B28" s="986"/>
      <c r="C28" s="986"/>
      <c r="D28" s="986"/>
      <c r="E28" s="986"/>
    </row>
    <row r="29" spans="1:5" ht="21.95" customHeight="1" thickBot="1">
      <c r="A29" s="204" t="s">
        <v>589</v>
      </c>
      <c r="B29" s="987">
        <f>B27+B19</f>
        <v>1387058</v>
      </c>
      <c r="C29" s="987">
        <f t="shared" ref="C29:E29" si="4">C27+C19</f>
        <v>0</v>
      </c>
      <c r="D29" s="987">
        <f t="shared" si="4"/>
        <v>0</v>
      </c>
      <c r="E29" s="987">
        <f t="shared" si="4"/>
        <v>1387058</v>
      </c>
    </row>
    <row r="30" spans="1:5" ht="6.75" customHeight="1">
      <c r="A30" s="205"/>
    </row>
    <row r="31" spans="1:5">
      <c r="A31" s="206" t="s">
        <v>590</v>
      </c>
    </row>
    <row r="32" spans="1:5">
      <c r="A32" s="861"/>
      <c r="B32" s="10"/>
      <c r="C32" s="10"/>
    </row>
    <row r="33" spans="1:3">
      <c r="A33" s="10"/>
      <c r="B33" s="10"/>
      <c r="C33" s="10"/>
    </row>
  </sheetData>
  <mergeCells count="8">
    <mergeCell ref="D5:E5"/>
    <mergeCell ref="D6:E6"/>
    <mergeCell ref="A8:E8"/>
    <mergeCell ref="A9:E9"/>
    <mergeCell ref="B11:B13"/>
    <mergeCell ref="C11:C13"/>
    <mergeCell ref="D11:D13"/>
    <mergeCell ref="E11:E13"/>
  </mergeCells>
  <pageMargins left="0.31496062992125984" right="0.31496062992125984" top="0.15748031496062992" bottom="0.15748031496062992" header="0.31496062992125984" footer="0.31496062992125984"/>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3"/>
  <sheetViews>
    <sheetView showZeros="0" topLeftCell="A10" workbookViewId="0">
      <selection activeCell="A15" sqref="A15:XFD15"/>
    </sheetView>
  </sheetViews>
  <sheetFormatPr baseColWidth="10" defaultRowHeight="12"/>
  <cols>
    <col min="1" max="1" width="2.85546875" style="87" customWidth="1"/>
    <col min="2" max="2" width="42.28515625" style="87" customWidth="1"/>
    <col min="3" max="3" width="10.42578125" style="87" bestFit="1" customWidth="1"/>
    <col min="4" max="4" width="16.85546875" style="87" customWidth="1"/>
    <col min="5" max="5" width="11.42578125" style="87"/>
    <col min="6" max="6" width="9.42578125" style="87" customWidth="1"/>
    <col min="7" max="16384" width="11.42578125" style="87"/>
  </cols>
  <sheetData>
    <row r="1" spans="2:9">
      <c r="B1" s="145" t="s">
        <v>545</v>
      </c>
    </row>
    <row r="2" spans="2:9">
      <c r="B2" s="146"/>
      <c r="D2" s="146"/>
    </row>
    <row r="3" spans="2:9">
      <c r="B3" s="146"/>
      <c r="D3" s="146"/>
    </row>
    <row r="4" spans="2:9">
      <c r="B4" s="146"/>
      <c r="D4" s="146"/>
    </row>
    <row r="5" spans="2:9">
      <c r="B5" s="146"/>
      <c r="D5" s="146"/>
    </row>
    <row r="6" spans="2:9" ht="14.25">
      <c r="B6" s="1338" t="str">
        <f>_soNom</f>
        <v>Cecotra</v>
      </c>
      <c r="C6" s="1338"/>
      <c r="D6" s="1338"/>
      <c r="E6" s="1342" t="str">
        <f>_ExerClos</f>
        <v>Exercice clos le 31/12/2025</v>
      </c>
      <c r="F6" s="1342"/>
      <c r="G6" s="1342"/>
    </row>
    <row r="7" spans="2:9" ht="15" customHeight="1">
      <c r="B7" s="1340" t="str">
        <f>_soId</f>
        <v> 3201810353457</v>
      </c>
      <c r="C7" s="1340"/>
      <c r="D7" s="1340"/>
      <c r="E7" s="1341" t="str">
        <f>_Duree</f>
        <v>Durée (en mois) 12</v>
      </c>
      <c r="F7" s="1341"/>
      <c r="G7" s="1341"/>
    </row>
    <row r="8" spans="2:9">
      <c r="B8" s="147"/>
    </row>
    <row r="9" spans="2:9" ht="15" customHeight="1">
      <c r="B9" s="76" t="s">
        <v>389</v>
      </c>
      <c r="C9" s="149"/>
    </row>
    <row r="10" spans="2:9" ht="15" thickBot="1">
      <c r="B10" s="1494" t="s">
        <v>390</v>
      </c>
      <c r="C10" s="1494"/>
      <c r="D10" s="1494"/>
      <c r="E10" s="1494"/>
      <c r="F10" s="1494"/>
      <c r="G10" s="1494"/>
      <c r="H10" s="90"/>
      <c r="I10" s="90"/>
    </row>
    <row r="11" spans="2:9" ht="15" customHeight="1">
      <c r="B11" s="119" t="s">
        <v>7</v>
      </c>
      <c r="C11" s="153" t="s">
        <v>364</v>
      </c>
      <c r="D11" s="115" t="s">
        <v>391</v>
      </c>
      <c r="E11" s="123" t="s">
        <v>392</v>
      </c>
      <c r="F11" s="120" t="s">
        <v>393</v>
      </c>
      <c r="G11" s="123" t="s">
        <v>394</v>
      </c>
    </row>
    <row r="12" spans="2:9" ht="24">
      <c r="B12" s="118" t="s">
        <v>7</v>
      </c>
      <c r="C12" s="116" t="s">
        <v>3</v>
      </c>
      <c r="D12" s="116" t="s">
        <v>395</v>
      </c>
      <c r="E12" s="116" t="s">
        <v>396</v>
      </c>
      <c r="F12" s="114" t="s">
        <v>397</v>
      </c>
      <c r="G12" s="116" t="s">
        <v>398</v>
      </c>
    </row>
    <row r="13" spans="2:9" ht="15" customHeight="1">
      <c r="B13" s="118" t="s">
        <v>7</v>
      </c>
      <c r="C13" s="116" t="s">
        <v>7</v>
      </c>
      <c r="D13" s="116" t="s">
        <v>7</v>
      </c>
      <c r="E13" s="116" t="s">
        <v>399</v>
      </c>
      <c r="F13" s="114" t="s">
        <v>400</v>
      </c>
      <c r="G13" s="116" t="s">
        <v>7</v>
      </c>
    </row>
    <row r="14" spans="2:9" ht="15" customHeight="1" thickBot="1">
      <c r="B14" s="121" t="s">
        <v>7</v>
      </c>
      <c r="C14" s="124" t="s">
        <v>360</v>
      </c>
      <c r="D14" s="124" t="s">
        <v>401</v>
      </c>
      <c r="E14" s="124" t="s">
        <v>402</v>
      </c>
      <c r="F14" s="122" t="s">
        <v>403</v>
      </c>
      <c r="G14" s="124" t="s">
        <v>404</v>
      </c>
    </row>
    <row r="15" spans="2:9" ht="15" customHeight="1">
      <c r="B15" s="139" t="s">
        <v>9</v>
      </c>
      <c r="C15" s="922"/>
      <c r="D15" s="922"/>
      <c r="E15" s="922"/>
      <c r="F15" s="988"/>
      <c r="G15" s="922"/>
    </row>
    <row r="16" spans="2:9" ht="15" customHeight="1">
      <c r="B16" s="139" t="s">
        <v>379</v>
      </c>
      <c r="C16" s="926"/>
      <c r="D16" s="926"/>
      <c r="E16" s="926"/>
      <c r="F16" s="940"/>
      <c r="G16" s="926"/>
    </row>
    <row r="17" spans="2:7" ht="15" customHeight="1">
      <c r="B17" s="139" t="s">
        <v>13</v>
      </c>
      <c r="C17" s="926"/>
      <c r="D17" s="926"/>
      <c r="E17" s="926"/>
      <c r="F17" s="940"/>
      <c r="G17" s="926"/>
    </row>
    <row r="18" spans="2:7" ht="15" customHeight="1" thickBot="1">
      <c r="B18" s="139" t="s">
        <v>15</v>
      </c>
      <c r="C18" s="930"/>
      <c r="D18" s="930"/>
      <c r="E18" s="930"/>
      <c r="F18" s="941"/>
      <c r="G18" s="930"/>
    </row>
    <row r="19" spans="2:7" ht="15" customHeight="1" thickBot="1">
      <c r="B19" s="98" t="s">
        <v>380</v>
      </c>
      <c r="C19" s="989">
        <f>SUM(C15:C18)</f>
        <v>0</v>
      </c>
      <c r="D19" s="989">
        <f t="shared" ref="D19:F19" si="0">SUM(D15:D18)</f>
        <v>0</v>
      </c>
      <c r="E19" s="989">
        <f>C19-D19</f>
        <v>0</v>
      </c>
      <c r="F19" s="989">
        <f t="shared" si="0"/>
        <v>0</v>
      </c>
      <c r="G19" s="989">
        <f>F19-E19</f>
        <v>0</v>
      </c>
    </row>
    <row r="20" spans="2:7" ht="15" customHeight="1">
      <c r="B20" s="139" t="s">
        <v>381</v>
      </c>
      <c r="C20" s="922"/>
      <c r="D20" s="922"/>
      <c r="E20" s="990"/>
      <c r="F20" s="991"/>
      <c r="G20" s="922"/>
    </row>
    <row r="21" spans="2:7" ht="15" customHeight="1">
      <c r="B21" s="139" t="s">
        <v>382</v>
      </c>
      <c r="C21" s="926"/>
      <c r="D21" s="926"/>
      <c r="E21" s="926"/>
      <c r="F21" s="940"/>
      <c r="G21" s="926"/>
    </row>
    <row r="22" spans="2:7" ht="15" customHeight="1">
      <c r="B22" s="139" t="s">
        <v>405</v>
      </c>
      <c r="C22" s="926"/>
      <c r="D22" s="926"/>
      <c r="E22" s="926"/>
      <c r="F22" s="940"/>
      <c r="G22" s="926"/>
    </row>
    <row r="23" spans="2:7" ht="15" customHeight="1">
      <c r="B23" s="139" t="s">
        <v>27</v>
      </c>
      <c r="C23" s="926"/>
      <c r="D23" s="926"/>
      <c r="E23" s="926"/>
      <c r="F23" s="940"/>
      <c r="G23" s="926"/>
    </row>
    <row r="24" spans="2:7" ht="15" customHeight="1" thickBot="1">
      <c r="B24" s="139" t="s">
        <v>29</v>
      </c>
      <c r="C24" s="930"/>
      <c r="D24" s="930"/>
      <c r="E24" s="930"/>
      <c r="F24" s="941"/>
      <c r="G24" s="930"/>
    </row>
    <row r="25" spans="2:7" ht="15" customHeight="1" thickBot="1">
      <c r="B25" s="98" t="s">
        <v>406</v>
      </c>
      <c r="C25" s="918">
        <f>SUM(C20:C24)</f>
        <v>0</v>
      </c>
      <c r="D25" s="918">
        <f>SUM(D20:D24)</f>
        <v>0</v>
      </c>
      <c r="E25" s="918">
        <f>C25-D25</f>
        <v>0</v>
      </c>
      <c r="F25" s="992">
        <f>SUM(F20:F24)</f>
        <v>0</v>
      </c>
      <c r="G25" s="918">
        <f>F25-E25</f>
        <v>0</v>
      </c>
    </row>
    <row r="26" spans="2:7" ht="15" customHeight="1">
      <c r="B26" s="139" t="s">
        <v>407</v>
      </c>
      <c r="C26" s="926"/>
      <c r="D26" s="993"/>
      <c r="E26" s="993"/>
      <c r="F26" s="940"/>
      <c r="G26" s="926"/>
    </row>
    <row r="27" spans="2:7" ht="15" customHeight="1" thickBot="1">
      <c r="B27" s="139" t="s">
        <v>37</v>
      </c>
      <c r="C27" s="930"/>
      <c r="D27" s="930"/>
      <c r="E27" s="930"/>
      <c r="F27" s="941"/>
      <c r="G27" s="930"/>
    </row>
    <row r="28" spans="2:7" ht="15" customHeight="1" thickBot="1">
      <c r="B28" s="151" t="s">
        <v>408</v>
      </c>
      <c r="C28" s="918">
        <f>SUM(C26:C27)</f>
        <v>0</v>
      </c>
      <c r="D28" s="918">
        <f>SUM(D26:D27)</f>
        <v>0</v>
      </c>
      <c r="E28" s="918">
        <f>C28-D28</f>
        <v>0</v>
      </c>
      <c r="F28" s="992">
        <f>SUM(F26:F27)</f>
        <v>0</v>
      </c>
      <c r="G28" s="918">
        <f>F28-E28</f>
        <v>0</v>
      </c>
    </row>
    <row r="29" spans="2:7" ht="15" customHeight="1" thickBot="1">
      <c r="B29" s="139" t="s">
        <v>7</v>
      </c>
      <c r="C29" s="994"/>
      <c r="D29" s="994"/>
      <c r="E29" s="994"/>
      <c r="F29" s="995"/>
      <c r="G29" s="994"/>
    </row>
    <row r="30" spans="2:7" ht="15" customHeight="1" thickBot="1">
      <c r="B30" s="152" t="s">
        <v>64</v>
      </c>
      <c r="C30" s="939">
        <f>C19+C25+C28</f>
        <v>0</v>
      </c>
      <c r="D30" s="939">
        <f t="shared" ref="D30:G30" si="1">D19+D25+D28</f>
        <v>0</v>
      </c>
      <c r="E30" s="939">
        <f t="shared" si="1"/>
        <v>0</v>
      </c>
      <c r="F30" s="939">
        <f t="shared" si="1"/>
        <v>0</v>
      </c>
      <c r="G30" s="939">
        <f t="shared" si="1"/>
        <v>0</v>
      </c>
    </row>
    <row r="31" spans="2:7">
      <c r="B31" s="1"/>
    </row>
    <row r="32" spans="2:7">
      <c r="B32" s="1" t="s">
        <v>546</v>
      </c>
    </row>
    <row r="33" spans="2:7" ht="15" customHeight="1">
      <c r="B33" s="1475" t="s">
        <v>547</v>
      </c>
      <c r="C33" s="1475"/>
      <c r="D33" s="1475"/>
      <c r="E33" s="1475"/>
      <c r="F33" s="1475"/>
      <c r="G33" s="1475"/>
    </row>
  </sheetData>
  <mergeCells count="6">
    <mergeCell ref="B33:G33"/>
    <mergeCell ref="B10:G10"/>
    <mergeCell ref="B6:D6"/>
    <mergeCell ref="B7:D7"/>
    <mergeCell ref="E6:G6"/>
    <mergeCell ref="E7:G7"/>
  </mergeCells>
  <pageMargins left="0" right="0" top="0.35433070866141736" bottom="0.35433070866141736" header="0.31496062992125984" footer="0.31496062992125984"/>
  <pageSetup paperSize="9" scale="9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topLeftCell="A28" workbookViewId="0">
      <selection activeCell="C39" sqref="A1:C39"/>
    </sheetView>
  </sheetViews>
  <sheetFormatPr baseColWidth="10" defaultRowHeight="12"/>
  <cols>
    <col min="1" max="1" width="76.7109375" style="87" customWidth="1"/>
    <col min="2" max="2" width="39" style="87" customWidth="1"/>
    <col min="3" max="3" width="27.85546875" style="87" customWidth="1"/>
    <col min="4" max="16384" width="11.42578125" style="87"/>
  </cols>
  <sheetData>
    <row r="1" spans="1:4">
      <c r="A1" s="73" t="s">
        <v>0</v>
      </c>
    </row>
    <row r="2" spans="1:4">
      <c r="A2" s="145" t="s">
        <v>545</v>
      </c>
    </row>
    <row r="3" spans="1:4">
      <c r="A3" s="146"/>
      <c r="C3" s="146"/>
    </row>
    <row r="4" spans="1:4">
      <c r="A4" s="146"/>
      <c r="C4" s="146"/>
    </row>
    <row r="5" spans="1:4">
      <c r="A5" s="146"/>
      <c r="C5" s="146"/>
    </row>
    <row r="6" spans="1:4">
      <c r="A6" s="146"/>
      <c r="C6" s="146"/>
    </row>
    <row r="7" spans="1:4" ht="15">
      <c r="A7" s="4" t="str">
        <f>_soNom</f>
        <v>Cecotra</v>
      </c>
      <c r="B7" s="1510" t="str">
        <f>_ExerClos</f>
        <v>Exercice clos le 31/12/2025</v>
      </c>
      <c r="C7" s="1510"/>
    </row>
    <row r="8" spans="1:4" ht="15" customHeight="1">
      <c r="A8" s="6" t="str">
        <f>_soId</f>
        <v> 3201810353457</v>
      </c>
      <c r="B8" s="1341" t="str">
        <f>_Duree</f>
        <v>Durée (en mois) 12</v>
      </c>
      <c r="C8" s="1341"/>
    </row>
    <row r="9" spans="1:4" ht="13.5">
      <c r="A9" s="113" t="s">
        <v>548</v>
      </c>
    </row>
    <row r="10" spans="1:4" ht="14.25">
      <c r="A10" s="1497" t="s">
        <v>409</v>
      </c>
      <c r="B10" s="1497"/>
      <c r="C10" s="1497"/>
      <c r="D10" s="154"/>
    </row>
    <row r="11" spans="1:4" ht="15.75" thickBot="1">
      <c r="A11" s="1494" t="s">
        <v>410</v>
      </c>
      <c r="B11" s="1494"/>
      <c r="C11" s="1494"/>
      <c r="D11" s="149"/>
    </row>
    <row r="12" spans="1:4" ht="30" customHeight="1">
      <c r="A12" s="1507" t="s">
        <v>549</v>
      </c>
      <c r="B12" s="1508"/>
      <c r="C12" s="1509"/>
    </row>
    <row r="13" spans="1:4" ht="15" customHeight="1">
      <c r="A13" s="1498" t="s">
        <v>550</v>
      </c>
      <c r="B13" s="1499"/>
      <c r="C13" s="1500"/>
    </row>
    <row r="14" spans="1:4" ht="15" customHeight="1">
      <c r="A14" s="1498" t="s">
        <v>550</v>
      </c>
      <c r="B14" s="1499"/>
      <c r="C14" s="1500"/>
    </row>
    <row r="15" spans="1:4" ht="12.75" thickBot="1">
      <c r="A15" s="1498" t="s">
        <v>550</v>
      </c>
      <c r="B15" s="1499"/>
      <c r="C15" s="1500"/>
    </row>
    <row r="16" spans="1:4" ht="24.75" thickBot="1">
      <c r="A16" s="156" t="s">
        <v>411</v>
      </c>
      <c r="B16" s="156" t="s">
        <v>412</v>
      </c>
      <c r="C16" s="156" t="s">
        <v>413</v>
      </c>
    </row>
    <row r="17" spans="1:3">
      <c r="A17" s="95" t="s">
        <v>193</v>
      </c>
      <c r="B17" s="470"/>
      <c r="C17" s="470"/>
    </row>
    <row r="18" spans="1:3">
      <c r="A18" s="92" t="s">
        <v>193</v>
      </c>
      <c r="B18" s="473"/>
      <c r="C18" s="473"/>
    </row>
    <row r="19" spans="1:3">
      <c r="A19" s="92" t="s">
        <v>193</v>
      </c>
      <c r="B19" s="473"/>
      <c r="C19" s="478"/>
    </row>
    <row r="20" spans="1:3">
      <c r="A20" s="92" t="s">
        <v>193</v>
      </c>
      <c r="B20" s="473"/>
      <c r="C20" s="473"/>
    </row>
    <row r="21" spans="1:3">
      <c r="A21" s="92" t="s">
        <v>193</v>
      </c>
      <c r="B21" s="473"/>
      <c r="C21" s="473"/>
    </row>
    <row r="22" spans="1:3">
      <c r="A22" s="92" t="s">
        <v>193</v>
      </c>
      <c r="B22" s="473"/>
      <c r="C22" s="473"/>
    </row>
    <row r="23" spans="1:3">
      <c r="A23" s="92" t="s">
        <v>193</v>
      </c>
      <c r="B23" s="473"/>
      <c r="C23" s="473"/>
    </row>
    <row r="24" spans="1:3" ht="12.75" thickBot="1">
      <c r="A24" s="93" t="s">
        <v>193</v>
      </c>
      <c r="B24" s="491"/>
      <c r="C24" s="491"/>
    </row>
    <row r="25" spans="1:3" ht="30" customHeight="1">
      <c r="A25" s="1498" t="s">
        <v>551</v>
      </c>
      <c r="B25" s="1499"/>
      <c r="C25" s="1500"/>
    </row>
    <row r="26" spans="1:3" ht="15" customHeight="1">
      <c r="A26" s="1498" t="s">
        <v>550</v>
      </c>
      <c r="B26" s="1499"/>
      <c r="C26" s="1500"/>
    </row>
    <row r="27" spans="1:3" ht="15" customHeight="1">
      <c r="A27" s="1498" t="s">
        <v>550</v>
      </c>
      <c r="B27" s="1499"/>
      <c r="C27" s="1500"/>
    </row>
    <row r="28" spans="1:3" ht="15" customHeight="1">
      <c r="A28" s="1498" t="s">
        <v>550</v>
      </c>
      <c r="B28" s="1499"/>
      <c r="C28" s="1500"/>
    </row>
    <row r="29" spans="1:3" ht="15" customHeight="1">
      <c r="A29" s="1498" t="s">
        <v>550</v>
      </c>
      <c r="B29" s="1499"/>
      <c r="C29" s="1500"/>
    </row>
    <row r="30" spans="1:3" ht="12.75" thickBot="1">
      <c r="A30" s="1501" t="s">
        <v>552</v>
      </c>
      <c r="B30" s="1502"/>
      <c r="C30" s="1503"/>
    </row>
    <row r="31" spans="1:3" ht="22.5" customHeight="1">
      <c r="A31" s="1504" t="s">
        <v>553</v>
      </c>
      <c r="B31" s="1505"/>
      <c r="C31" s="1506"/>
    </row>
    <row r="32" spans="1:3" ht="15" customHeight="1">
      <c r="A32" s="1498" t="s">
        <v>550</v>
      </c>
      <c r="B32" s="1499"/>
      <c r="C32" s="1500"/>
    </row>
    <row r="33" spans="1:3" ht="15" customHeight="1">
      <c r="A33" s="1498" t="s">
        <v>550</v>
      </c>
      <c r="B33" s="1499"/>
      <c r="C33" s="1500"/>
    </row>
    <row r="34" spans="1:3" ht="15" customHeight="1">
      <c r="A34" s="1498" t="s">
        <v>550</v>
      </c>
      <c r="B34" s="1499"/>
      <c r="C34" s="1500"/>
    </row>
    <row r="35" spans="1:3" ht="15" customHeight="1">
      <c r="A35" s="1498" t="s">
        <v>550</v>
      </c>
      <c r="B35" s="1499"/>
      <c r="C35" s="1500"/>
    </row>
    <row r="36" spans="1:3" ht="12.75" thickBot="1">
      <c r="A36" s="1501" t="s">
        <v>552</v>
      </c>
      <c r="B36" s="1502"/>
      <c r="C36" s="1503"/>
    </row>
    <row r="37" spans="1:3" ht="30" customHeight="1" thickBot="1">
      <c r="A37" s="1495" t="s">
        <v>414</v>
      </c>
      <c r="B37" s="1496"/>
      <c r="C37" s="150" t="s">
        <v>7</v>
      </c>
    </row>
    <row r="38" spans="1:3">
      <c r="A38" s="88" t="s">
        <v>0</v>
      </c>
      <c r="B38" s="88" t="s">
        <v>0</v>
      </c>
    </row>
    <row r="39" spans="1:3">
      <c r="A39" s="155"/>
    </row>
    <row r="40" spans="1:3">
      <c r="A40" s="155" t="s">
        <v>0</v>
      </c>
    </row>
  </sheetData>
  <mergeCells count="21">
    <mergeCell ref="A34:C34"/>
    <mergeCell ref="A35:C35"/>
    <mergeCell ref="A36:C36"/>
    <mergeCell ref="B7:C7"/>
    <mergeCell ref="B8:C8"/>
    <mergeCell ref="A37:B37"/>
    <mergeCell ref="A11:C11"/>
    <mergeCell ref="A10:C10"/>
    <mergeCell ref="A27:C27"/>
    <mergeCell ref="A28:C28"/>
    <mergeCell ref="A29:C29"/>
    <mergeCell ref="A30:C30"/>
    <mergeCell ref="A31:C31"/>
    <mergeCell ref="A32:C32"/>
    <mergeCell ref="A12:C12"/>
    <mergeCell ref="A13:C13"/>
    <mergeCell ref="A14:C14"/>
    <mergeCell ref="A15:C15"/>
    <mergeCell ref="A25:C25"/>
    <mergeCell ref="A26:C26"/>
    <mergeCell ref="A33:C33"/>
  </mergeCells>
  <pageMargins left="0.70866141732283472" right="0.70866141732283472"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3"/>
  <sheetViews>
    <sheetView workbookViewId="0">
      <selection sqref="A1:G62"/>
    </sheetView>
  </sheetViews>
  <sheetFormatPr baseColWidth="10" defaultRowHeight="15"/>
  <cols>
    <col min="1" max="1" width="28.5703125" customWidth="1"/>
    <col min="2" max="2" width="14.5703125" customWidth="1"/>
    <col min="3" max="3" width="15.5703125" customWidth="1"/>
    <col min="4" max="4" width="13.85546875" style="895" bestFit="1" customWidth="1"/>
    <col min="5" max="5" width="12.7109375" bestFit="1" customWidth="1"/>
    <col min="6" max="6" width="15" customWidth="1"/>
    <col min="7" max="7" width="14.140625" bestFit="1" customWidth="1"/>
  </cols>
  <sheetData>
    <row r="2" spans="1:7">
      <c r="A2" s="78" t="s">
        <v>0</v>
      </c>
      <c r="B2" s="78" t="s">
        <v>0</v>
      </c>
    </row>
    <row r="3" spans="1:7">
      <c r="A3" s="78"/>
      <c r="B3" s="78"/>
    </row>
    <row r="4" spans="1:7">
      <c r="A4" s="78"/>
      <c r="B4" s="78"/>
    </row>
    <row r="5" spans="1:7">
      <c r="A5" s="78"/>
      <c r="B5" s="78"/>
    </row>
    <row r="6" spans="1:7" s="87" customFormat="1">
      <c r="A6" s="4" t="str">
        <f>_soNom</f>
        <v>Cecotra</v>
      </c>
      <c r="B6" s="2"/>
      <c r="D6" s="896"/>
      <c r="E6" s="1519" t="str">
        <f>_ExerClos</f>
        <v>Exercice clos le 31/12/2025</v>
      </c>
      <c r="F6" s="1520"/>
      <c r="G6" s="526"/>
    </row>
    <row r="7" spans="1:7" s="87" customFormat="1">
      <c r="A7" s="6" t="str">
        <f>_soId</f>
        <v> 3201810353457</v>
      </c>
      <c r="B7" s="527"/>
      <c r="D7" s="896"/>
      <c r="E7" s="1521" t="str">
        <f>_Duree</f>
        <v>Durée (en mois) 12</v>
      </c>
      <c r="F7" s="1520"/>
      <c r="G7" s="525"/>
    </row>
    <row r="8" spans="1:7">
      <c r="A8" s="78"/>
      <c r="B8" s="78"/>
    </row>
    <row r="9" spans="1:7">
      <c r="A9" s="1528" t="s">
        <v>554</v>
      </c>
      <c r="B9" s="1528"/>
      <c r="C9" s="1528"/>
      <c r="D9" s="1528"/>
      <c r="E9" s="1528"/>
      <c r="F9" s="1528"/>
      <c r="G9" s="1528"/>
    </row>
    <row r="10" spans="1:7" ht="15.75" thickBot="1">
      <c r="A10" s="1486" t="s">
        <v>415</v>
      </c>
      <c r="B10" s="1486"/>
      <c r="C10" s="1486"/>
      <c r="D10" s="1486"/>
      <c r="E10" s="1486"/>
      <c r="F10" s="1486"/>
      <c r="G10" s="1486"/>
    </row>
    <row r="11" spans="1:7" ht="24">
      <c r="A11" s="1432" t="s">
        <v>416</v>
      </c>
      <c r="B11" s="1433" t="str">
        <f>_ExerFin</f>
        <v xml:space="preserve"> 31/12/2025</v>
      </c>
      <c r="C11" s="1433" t="str">
        <f>_ExerFin1</f>
        <v xml:space="preserve"> 31/12/2024</v>
      </c>
      <c r="D11" s="1535" t="s">
        <v>417</v>
      </c>
      <c r="E11" s="1433" t="s">
        <v>418</v>
      </c>
      <c r="F11" s="818" t="s">
        <v>419</v>
      </c>
      <c r="G11" s="1434" t="s">
        <v>421</v>
      </c>
    </row>
    <row r="12" spans="1:7" ht="15.75" thickBot="1">
      <c r="A12" s="1533"/>
      <c r="B12" s="1534"/>
      <c r="C12" s="1534"/>
      <c r="D12" s="1536"/>
      <c r="E12" s="1534"/>
      <c r="F12" s="819" t="s">
        <v>420</v>
      </c>
      <c r="G12" s="1537"/>
    </row>
    <row r="13" spans="1:7" ht="15" customHeight="1">
      <c r="A13" s="164" t="s">
        <v>35</v>
      </c>
      <c r="B13" s="824">
        <v>0</v>
      </c>
      <c r="C13" s="824">
        <v>0</v>
      </c>
      <c r="D13" s="1160">
        <f>IF(C13=0,0,(B13-C13)/C13)*100</f>
        <v>0</v>
      </c>
      <c r="E13" s="824">
        <v>0</v>
      </c>
      <c r="F13" s="824" t="s">
        <v>7</v>
      </c>
      <c r="G13" s="825" t="s">
        <v>7</v>
      </c>
    </row>
    <row r="14" spans="1:7" ht="15" customHeight="1">
      <c r="A14" s="163" t="s">
        <v>422</v>
      </c>
      <c r="B14" s="826">
        <v>0</v>
      </c>
      <c r="C14" s="826">
        <v>0</v>
      </c>
      <c r="D14" s="1160">
        <f t="shared" ref="D14:D23" si="0">IF(C14=0,0,(B14-C14)/C14)*100</f>
        <v>0</v>
      </c>
      <c r="E14" s="824">
        <v>0</v>
      </c>
      <c r="F14" s="826">
        <v>0</v>
      </c>
      <c r="G14" s="827">
        <f xml:space="preserve"> B14 - E14 - F14</f>
        <v>0</v>
      </c>
    </row>
    <row r="15" spans="1:7" ht="15" customHeight="1">
      <c r="A15" s="163" t="s">
        <v>423</v>
      </c>
      <c r="B15" s="826">
        <v>0</v>
      </c>
      <c r="C15" s="826">
        <v>0</v>
      </c>
      <c r="D15" s="1160">
        <f t="shared" si="0"/>
        <v>0</v>
      </c>
      <c r="E15" s="824">
        <v>0</v>
      </c>
      <c r="F15" s="826">
        <v>0</v>
      </c>
      <c r="G15" s="827">
        <f xml:space="preserve"> B15 - E15 - F15</f>
        <v>0</v>
      </c>
    </row>
    <row r="16" spans="1:7" ht="15" customHeight="1">
      <c r="A16" s="163" t="s">
        <v>424</v>
      </c>
      <c r="B16" s="826">
        <v>0</v>
      </c>
      <c r="C16" s="826">
        <v>0</v>
      </c>
      <c r="D16" s="1160">
        <f t="shared" si="0"/>
        <v>0</v>
      </c>
      <c r="E16" s="824">
        <v>0</v>
      </c>
      <c r="F16" s="824">
        <v>0</v>
      </c>
      <c r="G16" s="827">
        <f xml:space="preserve"> B16 - E16 - F16</f>
        <v>0</v>
      </c>
    </row>
    <row r="17" spans="1:8" ht="15" customHeight="1">
      <c r="A17" s="163" t="s">
        <v>425</v>
      </c>
      <c r="B17" s="826">
        <v>562500</v>
      </c>
      <c r="C17" s="826">
        <v>0</v>
      </c>
      <c r="D17" s="1160">
        <f t="shared" si="0"/>
        <v>0</v>
      </c>
      <c r="E17" s="824">
        <v>0</v>
      </c>
      <c r="F17" s="826">
        <v>0</v>
      </c>
      <c r="G17" s="827" t="s">
        <v>7</v>
      </c>
    </row>
    <row r="18" spans="1:8" ht="15" customHeight="1">
      <c r="A18" s="163" t="s">
        <v>426</v>
      </c>
      <c r="B18" s="826">
        <v>0</v>
      </c>
      <c r="C18" s="826">
        <v>0</v>
      </c>
      <c r="D18" s="1160">
        <f t="shared" si="0"/>
        <v>0</v>
      </c>
      <c r="E18" s="824">
        <v>0</v>
      </c>
      <c r="F18" s="826">
        <v>0</v>
      </c>
      <c r="G18" s="827">
        <f xml:space="preserve"> B18 - E18 - F18</f>
        <v>0</v>
      </c>
    </row>
    <row r="19" spans="1:8" ht="15" customHeight="1" thickBot="1">
      <c r="A19" s="165" t="s">
        <v>427</v>
      </c>
      <c r="B19" s="828">
        <v>0</v>
      </c>
      <c r="C19" s="828">
        <v>0</v>
      </c>
      <c r="D19" s="1160">
        <f t="shared" si="0"/>
        <v>0</v>
      </c>
      <c r="E19" s="824" t="s">
        <v>7</v>
      </c>
      <c r="F19" s="828" t="s">
        <v>7</v>
      </c>
      <c r="G19" s="829" t="s">
        <v>7</v>
      </c>
    </row>
    <row r="20" spans="1:8" ht="15.75" thickBot="1">
      <c r="A20" s="166" t="s">
        <v>428</v>
      </c>
      <c r="B20" s="830">
        <f>SUM(B13:B19)</f>
        <v>562500</v>
      </c>
      <c r="C20" s="830">
        <f t="shared" ref="C20:G20" si="1">SUM(C13:C19)</f>
        <v>0</v>
      </c>
      <c r="D20" s="830">
        <f t="shared" si="0"/>
        <v>0</v>
      </c>
      <c r="E20" s="830">
        <f t="shared" si="1"/>
        <v>0</v>
      </c>
      <c r="F20" s="830">
        <f t="shared" si="1"/>
        <v>0</v>
      </c>
      <c r="G20" s="831">
        <f t="shared" si="1"/>
        <v>0</v>
      </c>
      <c r="H20" s="891"/>
    </row>
    <row r="21" spans="1:8">
      <c r="A21" s="164" t="s">
        <v>429</v>
      </c>
      <c r="B21" s="892">
        <v>0</v>
      </c>
      <c r="C21" s="892">
        <v>0</v>
      </c>
      <c r="D21" s="1160">
        <f t="shared" si="0"/>
        <v>0</v>
      </c>
      <c r="E21" s="492"/>
      <c r="F21" s="492">
        <v>0</v>
      </c>
      <c r="G21" s="493">
        <v>0</v>
      </c>
    </row>
    <row r="22" spans="1:8" ht="15.75" thickBot="1">
      <c r="A22" s="163" t="s">
        <v>430</v>
      </c>
      <c r="B22" s="893">
        <v>0</v>
      </c>
      <c r="C22" s="893">
        <v>0</v>
      </c>
      <c r="D22" s="1160">
        <f t="shared" si="0"/>
        <v>0</v>
      </c>
      <c r="E22" s="494"/>
      <c r="F22" s="494">
        <v>0</v>
      </c>
      <c r="G22" s="495">
        <v>0</v>
      </c>
    </row>
    <row r="23" spans="1:8" ht="15.75" thickBot="1">
      <c r="A23" s="166" t="s">
        <v>431</v>
      </c>
      <c r="B23" s="894">
        <f>B21+B22</f>
        <v>0</v>
      </c>
      <c r="C23" s="894">
        <f>C21+C22</f>
        <v>0</v>
      </c>
      <c r="D23" s="830">
        <f t="shared" si="0"/>
        <v>0</v>
      </c>
      <c r="E23" s="830">
        <f>+E21+E22</f>
        <v>0</v>
      </c>
      <c r="F23" s="830">
        <f>F21+F22</f>
        <v>0</v>
      </c>
      <c r="G23" s="496">
        <f>G21+G22</f>
        <v>0</v>
      </c>
    </row>
    <row r="24" spans="1:8" ht="15.75" thickBot="1">
      <c r="A24" s="208" t="s">
        <v>432</v>
      </c>
    </row>
    <row r="25" spans="1:8" ht="30" customHeight="1">
      <c r="A25" s="1522" t="s">
        <v>433</v>
      </c>
      <c r="B25" s="1529" t="s">
        <v>434</v>
      </c>
      <c r="C25" s="1530"/>
      <c r="D25" s="1524" t="s">
        <v>435</v>
      </c>
      <c r="E25" s="1526" t="s">
        <v>436</v>
      </c>
      <c r="F25" s="158" t="s">
        <v>437</v>
      </c>
      <c r="G25" s="812" t="s">
        <v>439</v>
      </c>
    </row>
    <row r="26" spans="1:8" ht="30" customHeight="1" thickBot="1">
      <c r="A26" s="1523"/>
      <c r="B26" s="1531"/>
      <c r="C26" s="1532"/>
      <c r="D26" s="1525"/>
      <c r="E26" s="1527"/>
      <c r="F26" s="159" t="s">
        <v>438</v>
      </c>
      <c r="G26" s="157" t="s">
        <v>440</v>
      </c>
    </row>
    <row r="27" spans="1:8" ht="20.100000000000001" customHeight="1">
      <c r="A27" s="160" t="s">
        <v>7</v>
      </c>
      <c r="B27" s="1538" t="s">
        <v>388</v>
      </c>
      <c r="C27" s="1539"/>
      <c r="D27" s="897"/>
      <c r="E27" s="497"/>
      <c r="F27" s="498"/>
      <c r="G27" s="499"/>
    </row>
    <row r="28" spans="1:8" ht="20.100000000000001" customHeight="1">
      <c r="A28" s="161" t="s">
        <v>7</v>
      </c>
      <c r="B28" s="1538" t="s">
        <v>388</v>
      </c>
      <c r="C28" s="1539"/>
      <c r="D28" s="898"/>
      <c r="E28" s="500"/>
      <c r="F28" s="501"/>
      <c r="G28" s="502"/>
    </row>
    <row r="29" spans="1:8" ht="20.100000000000001" customHeight="1">
      <c r="A29" s="161" t="s">
        <v>7</v>
      </c>
      <c r="B29" s="1538" t="s">
        <v>388</v>
      </c>
      <c r="C29" s="1539"/>
      <c r="D29" s="898"/>
      <c r="E29" s="500"/>
      <c r="F29" s="501"/>
      <c r="G29" s="502"/>
    </row>
    <row r="30" spans="1:8" ht="20.100000000000001" customHeight="1">
      <c r="A30" s="161" t="s">
        <v>7</v>
      </c>
      <c r="B30" s="1538" t="s">
        <v>388</v>
      </c>
      <c r="C30" s="1539"/>
      <c r="D30" s="898"/>
      <c r="E30" s="500"/>
      <c r="F30" s="501"/>
      <c r="G30" s="502"/>
    </row>
    <row r="31" spans="1:8" ht="20.100000000000001" customHeight="1" thickBot="1">
      <c r="A31" s="162" t="s">
        <v>7</v>
      </c>
      <c r="B31" s="1540" t="s">
        <v>388</v>
      </c>
      <c r="C31" s="1541"/>
      <c r="D31" s="899"/>
      <c r="E31" s="503"/>
      <c r="F31" s="504"/>
      <c r="G31" s="505"/>
    </row>
    <row r="32" spans="1:8" ht="20.100000000000001" customHeight="1">
      <c r="A32" s="170"/>
      <c r="B32" s="170"/>
      <c r="C32" s="170"/>
      <c r="D32" s="900"/>
      <c r="E32" s="171"/>
      <c r="F32" s="171"/>
    </row>
    <row r="33" spans="1:6">
      <c r="A33" s="167" t="s">
        <v>354</v>
      </c>
      <c r="B33" s="87"/>
      <c r="C33" s="87"/>
      <c r="D33" s="896"/>
      <c r="E33" s="87"/>
      <c r="F33" s="87"/>
    </row>
    <row r="34" spans="1:6">
      <c r="A34" s="168" t="s">
        <v>555</v>
      </c>
      <c r="B34" s="87"/>
      <c r="C34" s="87"/>
      <c r="D34" s="896"/>
      <c r="E34" s="87"/>
      <c r="F34" s="87"/>
    </row>
    <row r="35" spans="1:6">
      <c r="A35" s="168" t="s">
        <v>556</v>
      </c>
      <c r="B35" s="87"/>
      <c r="C35" s="87"/>
      <c r="D35" s="896"/>
      <c r="E35" s="87"/>
      <c r="F35" s="87"/>
    </row>
    <row r="36" spans="1:6">
      <c r="A36" s="168" t="s">
        <v>557</v>
      </c>
      <c r="B36" s="87"/>
      <c r="C36" s="87"/>
      <c r="D36" s="896"/>
      <c r="E36" s="87"/>
      <c r="F36" s="87"/>
    </row>
    <row r="37" spans="1:6">
      <c r="A37" s="168" t="s">
        <v>537</v>
      </c>
      <c r="B37" s="87"/>
      <c r="C37" s="87"/>
      <c r="D37" s="896"/>
      <c r="E37" s="87"/>
      <c r="F37" s="87"/>
    </row>
    <row r="38" spans="1:6">
      <c r="A38" s="169" t="s">
        <v>558</v>
      </c>
      <c r="B38" s="87"/>
      <c r="C38" s="87"/>
      <c r="D38" s="896"/>
      <c r="E38" s="87"/>
      <c r="F38" s="87"/>
    </row>
    <row r="39" spans="1:6">
      <c r="A39" s="169" t="s">
        <v>559</v>
      </c>
      <c r="B39" s="87"/>
      <c r="C39" s="87"/>
      <c r="D39" s="896"/>
      <c r="E39" s="87"/>
      <c r="F39" s="87"/>
    </row>
    <row r="40" spans="1:6">
      <c r="A40" s="169" t="s">
        <v>560</v>
      </c>
      <c r="B40" s="87"/>
      <c r="C40" s="87"/>
      <c r="D40" s="896"/>
      <c r="E40" s="87"/>
      <c r="F40" s="87"/>
    </row>
    <row r="41" spans="1:6">
      <c r="A41" s="168" t="s">
        <v>561</v>
      </c>
      <c r="B41" s="87"/>
      <c r="C41" s="87"/>
      <c r="D41" s="896"/>
      <c r="E41" s="87"/>
      <c r="F41" s="87"/>
    </row>
    <row r="42" spans="1:6">
      <c r="A42" s="168" t="s">
        <v>562</v>
      </c>
      <c r="B42" s="87"/>
      <c r="C42" s="87"/>
      <c r="D42" s="896"/>
      <c r="E42" s="87"/>
      <c r="F42" s="87"/>
    </row>
    <row r="43" spans="1:6">
      <c r="A43" s="71"/>
    </row>
  </sheetData>
  <mergeCells count="19">
    <mergeCell ref="B27:C27"/>
    <mergeCell ref="B28:C28"/>
    <mergeCell ref="B29:C29"/>
    <mergeCell ref="B30:C30"/>
    <mergeCell ref="B31:C31"/>
    <mergeCell ref="E6:F6"/>
    <mergeCell ref="E7:F7"/>
    <mergeCell ref="A25:A26"/>
    <mergeCell ref="D25:D26"/>
    <mergeCell ref="E25:E26"/>
    <mergeCell ref="A10:G10"/>
    <mergeCell ref="A9:G9"/>
    <mergeCell ref="B25:C26"/>
    <mergeCell ref="A11:A12"/>
    <mergeCell ref="B11:B12"/>
    <mergeCell ref="C11:C12"/>
    <mergeCell ref="D11:D12"/>
    <mergeCell ref="E11:E12"/>
    <mergeCell ref="G11:G12"/>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39"/>
  <sheetViews>
    <sheetView showZeros="0" workbookViewId="0">
      <selection activeCell="E1" sqref="A1:E58"/>
    </sheetView>
  </sheetViews>
  <sheetFormatPr baseColWidth="10" defaultRowHeight="12"/>
  <cols>
    <col min="1" max="1" width="39.28515625" style="10" customWidth="1"/>
    <col min="2" max="2" width="17.7109375" style="10" customWidth="1"/>
    <col min="3" max="3" width="13.7109375" style="10" customWidth="1"/>
    <col min="4" max="4" width="14.140625" style="10" customWidth="1"/>
    <col min="5" max="5" width="13.5703125" style="10" customWidth="1"/>
    <col min="6" max="16384" width="11.42578125" style="10"/>
  </cols>
  <sheetData>
    <row r="6" spans="1:8" s="87" customFormat="1" ht="15">
      <c r="A6" s="4" t="str">
        <f>_soNom</f>
        <v>Cecotra</v>
      </c>
      <c r="B6" s="2"/>
      <c r="C6" s="2" t="str">
        <f>_ExerClos</f>
        <v>Exercice clos le 31/12/2025</v>
      </c>
      <c r="E6" s="526"/>
    </row>
    <row r="7" spans="1:8" s="87" customFormat="1" ht="15">
      <c r="A7" s="6" t="str">
        <f>_soId</f>
        <v> 3201810353457</v>
      </c>
      <c r="B7" s="527"/>
      <c r="C7" s="527" t="str">
        <f>_Duree</f>
        <v>Durée (en mois) 12</v>
      </c>
      <c r="E7" s="525"/>
    </row>
    <row r="8" spans="1:8" s="87" customFormat="1">
      <c r="A8" s="11"/>
      <c r="B8" s="10"/>
      <c r="C8" s="10"/>
      <c r="D8" s="48"/>
    </row>
    <row r="10" spans="1:8" ht="15">
      <c r="A10" s="1460" t="s">
        <v>569</v>
      </c>
      <c r="B10" s="1460"/>
      <c r="C10" s="1460"/>
      <c r="D10" s="1460"/>
      <c r="E10" s="1460"/>
      <c r="F10" s="1163"/>
      <c r="G10" s="127"/>
      <c r="H10" s="127"/>
    </row>
    <row r="11" spans="1:8" ht="15">
      <c r="A11" s="1550" t="s">
        <v>441</v>
      </c>
      <c r="B11" s="1550"/>
      <c r="C11" s="1550"/>
      <c r="D11" s="1550"/>
      <c r="E11" s="1550"/>
      <c r="F11" s="1164"/>
      <c r="G11" s="128"/>
      <c r="H11" s="128"/>
    </row>
    <row r="12" spans="1:8" ht="12.75" thickBot="1">
      <c r="A12" s="175"/>
      <c r="B12" s="175"/>
      <c r="C12" s="175"/>
      <c r="D12" s="175"/>
      <c r="E12" s="175"/>
      <c r="F12" s="175"/>
      <c r="G12" s="175"/>
      <c r="H12" s="175"/>
    </row>
    <row r="13" spans="1:8" ht="21.95" customHeight="1">
      <c r="A13" s="1432" t="s">
        <v>416</v>
      </c>
      <c r="B13" s="1434"/>
      <c r="C13" s="176" t="str">
        <f>_ExerFin</f>
        <v xml:space="preserve"> 31/12/2025</v>
      </c>
      <c r="D13" s="110" t="str">
        <f>_ExerFin1</f>
        <v xml:space="preserve"> 31/12/2024</v>
      </c>
      <c r="E13" s="177" t="s">
        <v>442</v>
      </c>
    </row>
    <row r="14" spans="1:8" ht="21.95" customHeight="1">
      <c r="A14" s="1542" t="s">
        <v>443</v>
      </c>
      <c r="B14" s="1543"/>
      <c r="C14" s="940">
        <v>0</v>
      </c>
      <c r="D14" s="926">
        <v>0</v>
      </c>
      <c r="E14" s="864">
        <f t="shared" ref="E14:E19" si="0">IF(D14=0,0,(C14-D14)/D14)*100</f>
        <v>0</v>
      </c>
    </row>
    <row r="15" spans="1:8" ht="21.95" customHeight="1" thickBot="1">
      <c r="A15" s="1544" t="s">
        <v>444</v>
      </c>
      <c r="B15" s="1545"/>
      <c r="C15" s="941">
        <v>0</v>
      </c>
      <c r="D15" s="930">
        <v>0</v>
      </c>
      <c r="E15" s="864">
        <f t="shared" si="0"/>
        <v>0</v>
      </c>
    </row>
    <row r="16" spans="1:8" ht="21.95" customHeight="1" thickBot="1">
      <c r="A16" s="1546" t="s">
        <v>445</v>
      </c>
      <c r="B16" s="1547"/>
      <c r="C16" s="996">
        <f>SUM(C14:C15)</f>
        <v>0</v>
      </c>
      <c r="D16" s="989">
        <f>SUM(D14:D15)</f>
        <v>0</v>
      </c>
      <c r="E16" s="989">
        <f t="shared" si="0"/>
        <v>0</v>
      </c>
    </row>
    <row r="17" spans="1:5" ht="21.95" customHeight="1">
      <c r="A17" s="1551" t="s">
        <v>446</v>
      </c>
      <c r="B17" s="1552"/>
      <c r="C17" s="988">
        <v>0</v>
      </c>
      <c r="D17" s="922">
        <v>0</v>
      </c>
      <c r="E17" s="864">
        <f t="shared" si="0"/>
        <v>0</v>
      </c>
    </row>
    <row r="18" spans="1:5" ht="21.95" customHeight="1" thickBot="1">
      <c r="A18" s="1544" t="s">
        <v>7</v>
      </c>
      <c r="B18" s="1545"/>
      <c r="C18" s="941"/>
      <c r="D18" s="930"/>
      <c r="E18" s="864">
        <f t="shared" si="0"/>
        <v>0</v>
      </c>
    </row>
    <row r="19" spans="1:5" ht="21.95" customHeight="1" thickBot="1">
      <c r="A19" s="1546" t="s">
        <v>431</v>
      </c>
      <c r="B19" s="1547"/>
      <c r="C19" s="992">
        <f>C17</f>
        <v>0</v>
      </c>
      <c r="D19" s="918">
        <f>D17</f>
        <v>0</v>
      </c>
      <c r="E19" s="989">
        <f t="shared" si="0"/>
        <v>0</v>
      </c>
    </row>
    <row r="20" spans="1:5">
      <c r="A20" s="167" t="s">
        <v>564</v>
      </c>
    </row>
    <row r="21" spans="1:5">
      <c r="A21" s="172" t="s">
        <v>565</v>
      </c>
    </row>
    <row r="22" spans="1:5">
      <c r="A22" s="172" t="s">
        <v>566</v>
      </c>
    </row>
    <row r="23" spans="1:5">
      <c r="A23" s="172"/>
    </row>
    <row r="24" spans="1:5">
      <c r="A24" s="172"/>
    </row>
    <row r="25" spans="1:5" ht="15.75" thickBot="1">
      <c r="A25" s="1550" t="s">
        <v>447</v>
      </c>
      <c r="B25" s="1550"/>
      <c r="C25" s="1550"/>
      <c r="D25" s="1550"/>
      <c r="E25" s="1550"/>
    </row>
    <row r="26" spans="1:5">
      <c r="A26" s="1435" t="s">
        <v>416</v>
      </c>
      <c r="B26" s="1555"/>
      <c r="C26" s="110" t="str">
        <f>_ExerFin</f>
        <v xml:space="preserve"> 31/12/2025</v>
      </c>
      <c r="D26" s="110" t="str">
        <f>_ExerFin1</f>
        <v xml:space="preserve"> 31/12/2024</v>
      </c>
      <c r="E26" s="177" t="s">
        <v>442</v>
      </c>
    </row>
    <row r="27" spans="1:5" ht="21.95" customHeight="1">
      <c r="A27" s="1548" t="s">
        <v>448</v>
      </c>
      <c r="B27" s="1549"/>
      <c r="C27" s="478">
        <v>0</v>
      </c>
      <c r="D27" s="478">
        <v>0</v>
      </c>
      <c r="E27" s="865">
        <f>IF(D27=0,0,(C27-D27)/D27)*100</f>
        <v>0</v>
      </c>
    </row>
    <row r="28" spans="1:5" ht="21.95" customHeight="1">
      <c r="A28" s="1548" t="s">
        <v>449</v>
      </c>
      <c r="B28" s="1549"/>
      <c r="C28" s="478">
        <v>0</v>
      </c>
      <c r="D28" s="478">
        <v>0</v>
      </c>
      <c r="E28" s="865">
        <f>IF(D28=0,0,(C28-D28)/D28)*100</f>
        <v>0</v>
      </c>
    </row>
    <row r="29" spans="1:5" ht="26.25" customHeight="1">
      <c r="A29" s="1548" t="s">
        <v>450</v>
      </c>
      <c r="B29" s="1549"/>
      <c r="C29" s="478">
        <v>0</v>
      </c>
      <c r="D29" s="478">
        <v>0</v>
      </c>
      <c r="E29" s="865">
        <f>IF(D29=0,0,(C29-D29)/D29)*100</f>
        <v>0</v>
      </c>
    </row>
    <row r="30" spans="1:5" ht="21.95" customHeight="1" thickBot="1">
      <c r="A30" s="1548" t="s">
        <v>451</v>
      </c>
      <c r="B30" s="1549"/>
      <c r="C30" s="478">
        <v>0</v>
      </c>
      <c r="D30" s="478">
        <v>0</v>
      </c>
      <c r="E30" s="865">
        <f>IF(D30=0,0,(C30-D30)/D30)*100</f>
        <v>0</v>
      </c>
    </row>
    <row r="31" spans="1:5" ht="21.95" customHeight="1" thickBot="1">
      <c r="A31" s="1553" t="s">
        <v>452</v>
      </c>
      <c r="B31" s="1554"/>
      <c r="C31" s="490">
        <f>SUM(C27:C30)</f>
        <v>0</v>
      </c>
      <c r="D31" s="490">
        <f>SUM(D27:D30)</f>
        <v>0</v>
      </c>
      <c r="E31" s="490">
        <f>IF(D31=0,0,(C31-D31)/D31)*100</f>
        <v>0</v>
      </c>
    </row>
    <row r="32" spans="1:5">
      <c r="A32" s="167" t="s">
        <v>0</v>
      </c>
    </row>
    <row r="33" spans="1:2">
      <c r="A33" s="167" t="s">
        <v>563</v>
      </c>
    </row>
    <row r="34" spans="1:2">
      <c r="A34" s="148" t="s">
        <v>0</v>
      </c>
    </row>
    <row r="35" spans="1:2">
      <c r="A35" s="168" t="s">
        <v>567</v>
      </c>
    </row>
    <row r="36" spans="1:2">
      <c r="A36" s="173" t="s">
        <v>453</v>
      </c>
    </row>
    <row r="37" spans="1:2">
      <c r="A37" s="168" t="s">
        <v>568</v>
      </c>
    </row>
    <row r="38" spans="1:2">
      <c r="A38" s="174" t="s">
        <v>0</v>
      </c>
    </row>
    <row r="39" spans="1:2">
      <c r="A39" s="174" t="s">
        <v>387</v>
      </c>
      <c r="B39" s="174" t="s">
        <v>0</v>
      </c>
    </row>
  </sheetData>
  <mergeCells count="16">
    <mergeCell ref="A29:B29"/>
    <mergeCell ref="A30:B30"/>
    <mergeCell ref="A31:B31"/>
    <mergeCell ref="A25:E25"/>
    <mergeCell ref="A27:B27"/>
    <mergeCell ref="A26:B26"/>
    <mergeCell ref="A14:B14"/>
    <mergeCell ref="A15:B15"/>
    <mergeCell ref="A16:B16"/>
    <mergeCell ref="A28:B28"/>
    <mergeCell ref="A10:E10"/>
    <mergeCell ref="A11:E11"/>
    <mergeCell ref="A17:B17"/>
    <mergeCell ref="A18:B18"/>
    <mergeCell ref="A19:B19"/>
    <mergeCell ref="A13:B13"/>
  </mergeCells>
  <pageMargins left="0.70866141732283472" right="0.70866141732283472" top="0.74803149606299213" bottom="0.74803149606299213" header="0.31496062992125984" footer="0.31496062992125984"/>
  <pageSetup paperSize="9" scale="85"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showZeros="0" workbookViewId="0">
      <selection activeCell="C11" activeCellId="1" sqref="B11 C11"/>
    </sheetView>
  </sheetViews>
  <sheetFormatPr baseColWidth="10" defaultRowHeight="12"/>
  <cols>
    <col min="1" max="1" width="65.7109375" style="87" customWidth="1"/>
    <col min="2" max="2" width="14.85546875" style="87" customWidth="1"/>
    <col min="3" max="3" width="14.140625" style="87" customWidth="1"/>
    <col min="4" max="4" width="11.42578125" style="87" customWidth="1"/>
    <col min="5" max="5" width="0.85546875" style="87" customWidth="1"/>
    <col min="6" max="16384" width="11.42578125" style="87"/>
  </cols>
  <sheetData>
    <row r="1" spans="1:5">
      <c r="A1" s="209"/>
    </row>
    <row r="2" spans="1:5">
      <c r="A2" s="155"/>
    </row>
    <row r="3" spans="1:5">
      <c r="A3" s="210"/>
    </row>
    <row r="4" spans="1:5">
      <c r="A4" s="210"/>
    </row>
    <row r="5" spans="1:5">
      <c r="A5" s="210"/>
    </row>
    <row r="6" spans="1:5" ht="14.25">
      <c r="A6" s="4" t="str">
        <f>_soNom</f>
        <v>Cecotra</v>
      </c>
      <c r="B6" s="1342" t="str">
        <f>_ExerClos</f>
        <v>Exercice clos le 31/12/2025</v>
      </c>
      <c r="C6" s="1342"/>
      <c r="D6" s="1342"/>
    </row>
    <row r="7" spans="1:5" ht="15" customHeight="1">
      <c r="A7" s="6" t="str">
        <f>_soId</f>
        <v> 3201810353457</v>
      </c>
      <c r="B7" s="1341" t="str">
        <f>_Duree</f>
        <v>Durée (en mois) 12</v>
      </c>
      <c r="C7" s="1341"/>
      <c r="D7" s="1341"/>
    </row>
    <row r="9" spans="1:5" ht="14.25">
      <c r="A9" s="1497" t="s">
        <v>596</v>
      </c>
      <c r="B9" s="1497"/>
      <c r="C9" s="1497"/>
      <c r="D9" s="1497"/>
      <c r="E9" s="74"/>
    </row>
    <row r="10" spans="1:5" ht="17.25" thickBot="1">
      <c r="A10" s="1494" t="s">
        <v>597</v>
      </c>
      <c r="B10" s="1494"/>
      <c r="C10" s="1494"/>
      <c r="D10" s="1494"/>
      <c r="E10" s="90"/>
    </row>
    <row r="11" spans="1:5" ht="24.75" thickBot="1">
      <c r="A11" s="184" t="s">
        <v>416</v>
      </c>
      <c r="B11" s="1159" t="str">
        <f>_ExerFin</f>
        <v xml:space="preserve"> 31/12/2025</v>
      </c>
      <c r="C11" s="1159" t="str">
        <f>_ExerFin1</f>
        <v xml:space="preserve"> 31/12/2024</v>
      </c>
      <c r="D11" s="185" t="s">
        <v>417</v>
      </c>
    </row>
    <row r="12" spans="1:5" ht="15" customHeight="1">
      <c r="A12" s="238" t="s">
        <v>454</v>
      </c>
      <c r="B12" s="924">
        <v>52704386</v>
      </c>
      <c r="C12" s="924">
        <v>0</v>
      </c>
      <c r="D12" s="506">
        <f>IF(C12=0,0,(B12-C12)/C12)*100</f>
        <v>0</v>
      </c>
    </row>
    <row r="13" spans="1:5" ht="15" customHeight="1">
      <c r="A13" s="224" t="s">
        <v>455</v>
      </c>
      <c r="B13" s="928">
        <v>0</v>
      </c>
      <c r="C13" s="928">
        <v>0</v>
      </c>
      <c r="D13" s="506">
        <f t="shared" ref="D13:D19" si="0">IF(C13=0,0,(B13-C13)/C13)*100</f>
        <v>0</v>
      </c>
    </row>
    <row r="14" spans="1:5" ht="15" customHeight="1">
      <c r="A14" s="224" t="s">
        <v>456</v>
      </c>
      <c r="B14" s="928">
        <v>0</v>
      </c>
      <c r="C14" s="928">
        <v>0</v>
      </c>
      <c r="D14" s="506">
        <f t="shared" si="0"/>
        <v>0</v>
      </c>
    </row>
    <row r="15" spans="1:5" ht="15" customHeight="1">
      <c r="A15" s="224" t="s">
        <v>457</v>
      </c>
      <c r="B15" s="928">
        <v>0</v>
      </c>
      <c r="C15" s="928">
        <v>0</v>
      </c>
      <c r="D15" s="506">
        <f t="shared" si="0"/>
        <v>0</v>
      </c>
    </row>
    <row r="16" spans="1:5" ht="15" customHeight="1">
      <c r="A16" s="224" t="s">
        <v>458</v>
      </c>
      <c r="B16" s="928">
        <v>0</v>
      </c>
      <c r="C16" s="928">
        <v>0</v>
      </c>
      <c r="D16" s="506">
        <f t="shared" si="0"/>
        <v>0</v>
      </c>
    </row>
    <row r="17" spans="1:5" ht="15" customHeight="1">
      <c r="A17" s="224" t="s">
        <v>459</v>
      </c>
      <c r="B17" s="928">
        <v>0</v>
      </c>
      <c r="C17" s="928">
        <v>0</v>
      </c>
      <c r="D17" s="506">
        <f t="shared" si="0"/>
        <v>0</v>
      </c>
    </row>
    <row r="18" spans="1:5" ht="15" customHeight="1">
      <c r="A18" s="224" t="s">
        <v>460</v>
      </c>
      <c r="B18" s="928">
        <v>0</v>
      </c>
      <c r="C18" s="928">
        <v>0</v>
      </c>
      <c r="D18" s="506">
        <f>IF(C18=0,0,(B18-C18)/C18)*100</f>
        <v>0</v>
      </c>
    </row>
    <row r="19" spans="1:5" ht="12.75" thickBot="1">
      <c r="A19" s="228" t="s">
        <v>461</v>
      </c>
      <c r="B19" s="932"/>
      <c r="C19" s="932"/>
      <c r="D19" s="506">
        <f t="shared" si="0"/>
        <v>0</v>
      </c>
    </row>
    <row r="20" spans="1:5" ht="15" customHeight="1" thickBot="1">
      <c r="A20" s="234" t="s">
        <v>462</v>
      </c>
      <c r="B20" s="997">
        <f>SUM(B12:B19)</f>
        <v>52704386</v>
      </c>
      <c r="C20" s="997">
        <f>SUM(C12:C19)</f>
        <v>0</v>
      </c>
      <c r="D20" s="509">
        <f>IF(C20=0,0,(B20-C20)/C20)*100</f>
        <v>0</v>
      </c>
    </row>
    <row r="21" spans="1:5" ht="15" customHeight="1">
      <c r="A21" s="231" t="s">
        <v>0</v>
      </c>
      <c r="B21" s="949"/>
      <c r="C21" s="949"/>
      <c r="D21" s="510"/>
    </row>
    <row r="22" spans="1:5" ht="15" customHeight="1">
      <c r="A22" s="224" t="s">
        <v>463</v>
      </c>
      <c r="B22" s="928">
        <v>0</v>
      </c>
      <c r="C22" s="928">
        <v>0</v>
      </c>
      <c r="D22" s="507">
        <f>IF(C22=0,0,(B22-C22)/C22)*100</f>
        <v>0</v>
      </c>
    </row>
    <row r="23" spans="1:5" ht="15" customHeight="1" thickBot="1">
      <c r="A23" s="228" t="s">
        <v>7</v>
      </c>
      <c r="B23" s="932"/>
      <c r="C23" s="932"/>
      <c r="D23" s="508"/>
    </row>
    <row r="24" spans="1:5" ht="15" customHeight="1" thickBot="1">
      <c r="A24" s="237" t="s">
        <v>431</v>
      </c>
      <c r="B24" s="920">
        <f>+B20-B22</f>
        <v>52704386</v>
      </c>
      <c r="C24" s="920">
        <f>+C20-C22</f>
        <v>0</v>
      </c>
      <c r="D24" s="511">
        <f>IF(C24=0,0,(B24-C24)/C24)*100</f>
        <v>0</v>
      </c>
    </row>
    <row r="25" spans="1:5" ht="25.5" customHeight="1">
      <c r="A25" s="1556" t="s">
        <v>464</v>
      </c>
      <c r="B25" s="1556"/>
      <c r="C25" s="1556"/>
      <c r="D25" s="1556"/>
      <c r="E25" s="1556"/>
    </row>
    <row r="26" spans="1:5">
      <c r="A26" s="167" t="s">
        <v>0</v>
      </c>
    </row>
    <row r="27" spans="1:5">
      <c r="A27" s="217" t="s">
        <v>592</v>
      </c>
    </row>
    <row r="28" spans="1:5" ht="29.25" customHeight="1">
      <c r="A28" s="1556" t="s">
        <v>593</v>
      </c>
      <c r="B28" s="1556"/>
      <c r="C28" s="1556"/>
      <c r="D28" s="1556"/>
      <c r="E28" s="1556"/>
    </row>
    <row r="29" spans="1:5" ht="16.5" customHeight="1">
      <c r="A29" s="1556" t="s">
        <v>594</v>
      </c>
      <c r="B29" s="1556"/>
      <c r="C29" s="1556"/>
      <c r="D29" s="1556"/>
      <c r="E29" s="1556"/>
    </row>
    <row r="30" spans="1:5" ht="19.5" customHeight="1">
      <c r="A30" s="1556" t="s">
        <v>595</v>
      </c>
      <c r="B30" s="1556"/>
      <c r="C30" s="1556"/>
      <c r="D30" s="1556"/>
      <c r="E30" s="1556"/>
    </row>
    <row r="31" spans="1:5">
      <c r="A31" s="218" t="s">
        <v>0</v>
      </c>
      <c r="B31" s="219" t="s">
        <v>0</v>
      </c>
      <c r="C31" s="219" t="s">
        <v>0</v>
      </c>
      <c r="D31" s="220" t="s">
        <v>0</v>
      </c>
    </row>
    <row r="32" spans="1:5">
      <c r="A32" s="209" t="s">
        <v>0</v>
      </c>
    </row>
    <row r="33" spans="1:1">
      <c r="A33" s="209" t="s">
        <v>0</v>
      </c>
    </row>
    <row r="34" spans="1:1">
      <c r="A34" s="209" t="s">
        <v>0</v>
      </c>
    </row>
    <row r="35" spans="1:1">
      <c r="A35" s="209"/>
    </row>
    <row r="36" spans="1:1">
      <c r="A36" s="209" t="s">
        <v>0</v>
      </c>
    </row>
    <row r="37" spans="1:1">
      <c r="A37" s="209" t="s">
        <v>0</v>
      </c>
    </row>
    <row r="38" spans="1:1">
      <c r="A38" s="209"/>
    </row>
  </sheetData>
  <mergeCells count="8">
    <mergeCell ref="B6:D6"/>
    <mergeCell ref="B7:D7"/>
    <mergeCell ref="A29:E29"/>
    <mergeCell ref="A30:E30"/>
    <mergeCell ref="A9:D9"/>
    <mergeCell ref="A10:D10"/>
    <mergeCell ref="A25:E25"/>
    <mergeCell ref="A28:E28"/>
  </mergeCells>
  <pageMargins left="0.11811023622047245" right="0.11811023622047245" top="0.15748031496062992" bottom="0.15748031496062992" header="0.31496062992125984" footer="0.31496062992125984"/>
  <pageSetup paperSize="9" scale="9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30"/>
  <sheetViews>
    <sheetView showZeros="0" topLeftCell="A8" workbookViewId="0">
      <selection activeCell="F8" sqref="F1:F1048576"/>
    </sheetView>
  </sheetViews>
  <sheetFormatPr baseColWidth="10" defaultRowHeight="12"/>
  <cols>
    <col min="1" max="1" width="46.85546875" style="87" customWidth="1"/>
    <col min="2" max="2" width="15.28515625" style="87" customWidth="1"/>
    <col min="3" max="3" width="15" style="87" customWidth="1"/>
    <col min="4" max="4" width="9.140625" style="888" customWidth="1"/>
    <col min="5" max="5" width="12.5703125" style="87" bestFit="1" customWidth="1"/>
    <col min="6" max="6" width="15.7109375" style="87" customWidth="1"/>
    <col min="7" max="7" width="14" style="87" customWidth="1"/>
    <col min="8" max="16384" width="11.42578125" style="87"/>
  </cols>
  <sheetData>
    <row r="4" spans="1:7" ht="14.25">
      <c r="A4" s="4" t="str">
        <f>_soNom</f>
        <v>Cecotra</v>
      </c>
      <c r="E4" s="1342" t="str">
        <f>_ExerClos</f>
        <v>Exercice clos le 31/12/2025</v>
      </c>
      <c r="F4" s="1342"/>
      <c r="G4" s="1342"/>
    </row>
    <row r="5" spans="1:7" ht="15" customHeight="1">
      <c r="A5" s="6" t="str">
        <f>_soId</f>
        <v> 3201810353457</v>
      </c>
      <c r="E5" s="1341" t="str">
        <f>_Duree</f>
        <v>Durée (en mois) 12</v>
      </c>
      <c r="F5" s="1341"/>
      <c r="G5" s="1341"/>
    </row>
    <row r="6" spans="1:7" ht="14.25">
      <c r="A6" s="1559" t="s">
        <v>599</v>
      </c>
      <c r="B6" s="1559"/>
      <c r="C6" s="1559"/>
      <c r="D6" s="1559"/>
      <c r="E6" s="1559"/>
      <c r="F6" s="1559"/>
      <c r="G6" s="1559"/>
    </row>
    <row r="7" spans="1:7" ht="15" thickBot="1">
      <c r="A7" s="1494" t="s">
        <v>465</v>
      </c>
      <c r="B7" s="1494"/>
      <c r="C7" s="1494"/>
      <c r="D7" s="1494"/>
      <c r="E7" s="1494"/>
      <c r="F7" s="1494"/>
      <c r="G7" s="1494"/>
    </row>
    <row r="8" spans="1:7" ht="23.25" customHeight="1">
      <c r="A8" s="1432" t="s">
        <v>416</v>
      </c>
      <c r="B8" s="1433" t="str">
        <f>_ExerFin</f>
        <v xml:space="preserve"> 31/12/2025</v>
      </c>
      <c r="C8" s="1433" t="str">
        <f>_ExerFin1</f>
        <v xml:space="preserve"> 31/12/2024</v>
      </c>
      <c r="D8" s="1565" t="s">
        <v>417</v>
      </c>
      <c r="E8" s="1568" t="s">
        <v>418</v>
      </c>
      <c r="F8" s="246" t="s">
        <v>466</v>
      </c>
      <c r="G8" s="1560" t="s">
        <v>421</v>
      </c>
    </row>
    <row r="9" spans="1:7" ht="19.5" customHeight="1">
      <c r="A9" s="1563"/>
      <c r="B9" s="1564"/>
      <c r="C9" s="1564"/>
      <c r="D9" s="1566"/>
      <c r="E9" s="1569"/>
      <c r="F9" s="134" t="s">
        <v>467</v>
      </c>
      <c r="G9" s="1561"/>
    </row>
    <row r="10" spans="1:7" ht="15" customHeight="1">
      <c r="A10" s="1563"/>
      <c r="B10" s="1564"/>
      <c r="C10" s="1564"/>
      <c r="D10" s="1566"/>
      <c r="E10" s="1569"/>
      <c r="F10" s="134" t="s">
        <v>468</v>
      </c>
      <c r="G10" s="1561"/>
    </row>
    <row r="11" spans="1:7" ht="15" customHeight="1" thickBot="1">
      <c r="A11" s="1533"/>
      <c r="B11" s="1534"/>
      <c r="C11" s="1534"/>
      <c r="D11" s="1567"/>
      <c r="E11" s="1570"/>
      <c r="F11" s="248" t="s">
        <v>484</v>
      </c>
      <c r="G11" s="1562"/>
    </row>
    <row r="12" spans="1:7" ht="15.75" customHeight="1">
      <c r="A12" s="238" t="s">
        <v>469</v>
      </c>
      <c r="B12" s="924">
        <v>22783128</v>
      </c>
      <c r="C12" s="924">
        <v>0</v>
      </c>
      <c r="D12" s="998">
        <f>IF(C12=0,0,(B12-C12)/C12)*100</f>
        <v>0</v>
      </c>
      <c r="E12" s="924">
        <v>0</v>
      </c>
      <c r="F12" s="924">
        <f>+B12</f>
        <v>22783128</v>
      </c>
      <c r="G12" s="925">
        <v>0</v>
      </c>
    </row>
    <row r="13" spans="1:7" ht="15" customHeight="1">
      <c r="A13" s="224" t="s">
        <v>470</v>
      </c>
      <c r="B13" s="928">
        <v>0</v>
      </c>
      <c r="C13" s="928">
        <v>0</v>
      </c>
      <c r="D13" s="998">
        <f t="shared" ref="D13:D28" si="0">IF(C13=0,0,(B13-C13)/C13)*100</f>
        <v>0</v>
      </c>
      <c r="E13" s="928"/>
      <c r="F13" s="928"/>
      <c r="G13" s="929"/>
    </row>
    <row r="14" spans="1:7" ht="15" customHeight="1">
      <c r="A14" s="224" t="s">
        <v>471</v>
      </c>
      <c r="B14" s="928">
        <v>0</v>
      </c>
      <c r="C14" s="928">
        <v>0</v>
      </c>
      <c r="D14" s="998">
        <f t="shared" si="0"/>
        <v>0</v>
      </c>
      <c r="E14" s="928"/>
      <c r="F14" s="928"/>
      <c r="G14" s="929"/>
    </row>
    <row r="15" spans="1:7" ht="15" customHeight="1">
      <c r="A15" s="247" t="s">
        <v>472</v>
      </c>
      <c r="B15" s="928">
        <v>0</v>
      </c>
      <c r="C15" s="928">
        <v>0</v>
      </c>
      <c r="D15" s="998">
        <f t="shared" si="0"/>
        <v>0</v>
      </c>
      <c r="E15" s="928"/>
      <c r="F15" s="928"/>
      <c r="G15" s="929"/>
    </row>
    <row r="16" spans="1:7" ht="15" customHeight="1">
      <c r="A16" s="224" t="s">
        <v>473</v>
      </c>
      <c r="B16" s="928">
        <v>0</v>
      </c>
      <c r="C16" s="928">
        <v>0</v>
      </c>
      <c r="D16" s="998">
        <f t="shared" si="0"/>
        <v>0</v>
      </c>
      <c r="E16" s="928"/>
      <c r="F16" s="928"/>
      <c r="G16" s="929"/>
    </row>
    <row r="17" spans="1:7" ht="15" customHeight="1">
      <c r="A17" s="224" t="s">
        <v>474</v>
      </c>
      <c r="B17" s="928">
        <v>0</v>
      </c>
      <c r="C17" s="928">
        <v>0</v>
      </c>
      <c r="D17" s="998">
        <f t="shared" si="0"/>
        <v>0</v>
      </c>
      <c r="E17" s="928"/>
      <c r="F17" s="928"/>
      <c r="G17" s="929"/>
    </row>
    <row r="18" spans="1:7" ht="15" customHeight="1">
      <c r="A18" s="224" t="s">
        <v>475</v>
      </c>
      <c r="B18" s="928">
        <v>0</v>
      </c>
      <c r="C18" s="928">
        <v>0</v>
      </c>
      <c r="D18" s="998">
        <f t="shared" si="0"/>
        <v>0</v>
      </c>
      <c r="E18" s="928"/>
      <c r="F18" s="928"/>
      <c r="G18" s="929"/>
    </row>
    <row r="19" spans="1:7" ht="15" customHeight="1" thickBot="1">
      <c r="A19" s="228" t="s">
        <v>476</v>
      </c>
      <c r="B19" s="932">
        <v>0</v>
      </c>
      <c r="C19" s="932">
        <v>0</v>
      </c>
      <c r="D19" s="998">
        <f t="shared" si="0"/>
        <v>0</v>
      </c>
      <c r="E19" s="932"/>
      <c r="F19" s="932"/>
      <c r="G19" s="933"/>
    </row>
    <row r="20" spans="1:7" ht="15" customHeight="1" thickBot="1">
      <c r="A20" s="234" t="s">
        <v>477</v>
      </c>
      <c r="B20" s="997">
        <f>SUM(B12:B19)</f>
        <v>22783128</v>
      </c>
      <c r="C20" s="997">
        <f t="shared" ref="C20:G20" si="1">SUM(C12:C19)</f>
        <v>0</v>
      </c>
      <c r="D20" s="997">
        <f t="shared" si="0"/>
        <v>0</v>
      </c>
      <c r="E20" s="997">
        <f t="shared" si="1"/>
        <v>0</v>
      </c>
      <c r="F20" s="997">
        <f t="shared" si="1"/>
        <v>22783128</v>
      </c>
      <c r="G20" s="997">
        <f t="shared" si="1"/>
        <v>0</v>
      </c>
    </row>
    <row r="21" spans="1:7" ht="15" customHeight="1">
      <c r="A21" s="231" t="s">
        <v>7</v>
      </c>
      <c r="B21" s="924"/>
      <c r="C21" s="924"/>
      <c r="D21" s="998">
        <f t="shared" si="0"/>
        <v>0</v>
      </c>
      <c r="E21" s="924"/>
      <c r="F21" s="924"/>
      <c r="G21" s="925"/>
    </row>
    <row r="22" spans="1:7" ht="15" customHeight="1">
      <c r="A22" s="224" t="s">
        <v>478</v>
      </c>
      <c r="B22" s="928">
        <v>0</v>
      </c>
      <c r="C22" s="928">
        <v>0</v>
      </c>
      <c r="D22" s="998">
        <f t="shared" si="0"/>
        <v>0</v>
      </c>
      <c r="E22" s="928"/>
      <c r="F22" s="928"/>
      <c r="G22" s="929"/>
    </row>
    <row r="23" spans="1:7" ht="15" customHeight="1" thickBot="1">
      <c r="A23" s="228" t="s">
        <v>7</v>
      </c>
      <c r="B23" s="932"/>
      <c r="C23" s="932"/>
      <c r="D23" s="998">
        <f t="shared" si="0"/>
        <v>0</v>
      </c>
      <c r="E23" s="932"/>
      <c r="F23" s="932"/>
      <c r="G23" s="933"/>
    </row>
    <row r="24" spans="1:7" ht="15" customHeight="1" thickBot="1">
      <c r="A24" s="234" t="s">
        <v>431</v>
      </c>
      <c r="B24" s="920">
        <f>+B22</f>
        <v>0</v>
      </c>
      <c r="C24" s="920">
        <f>+C22</f>
        <v>0</v>
      </c>
      <c r="D24" s="997">
        <f t="shared" si="0"/>
        <v>0</v>
      </c>
      <c r="E24" s="920">
        <f>+E22</f>
        <v>0</v>
      </c>
      <c r="F24" s="920">
        <f t="shared" ref="F24:G24" si="2">+F22</f>
        <v>0</v>
      </c>
      <c r="G24" s="920">
        <f t="shared" si="2"/>
        <v>0</v>
      </c>
    </row>
    <row r="25" spans="1:7" ht="15" customHeight="1">
      <c r="A25" s="224" t="s">
        <v>479</v>
      </c>
      <c r="B25" s="928">
        <v>0</v>
      </c>
      <c r="C25" s="928">
        <v>0</v>
      </c>
      <c r="D25" s="998">
        <f t="shared" si="0"/>
        <v>0</v>
      </c>
      <c r="E25" s="928"/>
      <c r="F25" s="928">
        <v>0</v>
      </c>
      <c r="G25" s="929">
        <v>0</v>
      </c>
    </row>
    <row r="26" spans="1:7" ht="15" customHeight="1">
      <c r="A26" s="224" t="s">
        <v>480</v>
      </c>
      <c r="B26" s="928">
        <v>0</v>
      </c>
      <c r="C26" s="928">
        <v>0</v>
      </c>
      <c r="D26" s="998">
        <f t="shared" si="0"/>
        <v>0</v>
      </c>
      <c r="E26" s="928"/>
      <c r="F26" s="928">
        <v>0</v>
      </c>
      <c r="G26" s="929">
        <v>0</v>
      </c>
    </row>
    <row r="27" spans="1:7" ht="15" customHeight="1" thickBot="1">
      <c r="A27" s="228" t="s">
        <v>481</v>
      </c>
      <c r="B27" s="932">
        <v>0</v>
      </c>
      <c r="C27" s="932">
        <v>0</v>
      </c>
      <c r="D27" s="998">
        <f t="shared" si="0"/>
        <v>0</v>
      </c>
      <c r="E27" s="932"/>
      <c r="F27" s="932">
        <v>0</v>
      </c>
      <c r="G27" s="933">
        <v>0</v>
      </c>
    </row>
    <row r="28" spans="1:7" ht="15" customHeight="1" thickBot="1">
      <c r="A28" s="234" t="s">
        <v>482</v>
      </c>
      <c r="B28" s="920">
        <f>SUM(B25:B27)</f>
        <v>0</v>
      </c>
      <c r="C28" s="920">
        <f>SUM(C25:C27)</f>
        <v>0</v>
      </c>
      <c r="D28" s="997">
        <f t="shared" si="0"/>
        <v>0</v>
      </c>
      <c r="E28" s="920">
        <f>SUM(E25:E27)</f>
        <v>0</v>
      </c>
      <c r="F28" s="920">
        <f>SUM(F25:F27)</f>
        <v>0</v>
      </c>
      <c r="G28" s="920">
        <f>SUM(G25:G27)</f>
        <v>0</v>
      </c>
    </row>
    <row r="29" spans="1:7">
      <c r="A29" s="243" t="s">
        <v>598</v>
      </c>
    </row>
    <row r="30" spans="1:7" ht="15.75" customHeight="1">
      <c r="A30" s="1557"/>
      <c r="B30" s="1558"/>
      <c r="C30" s="1558"/>
      <c r="D30" s="1558"/>
      <c r="E30" s="1558"/>
      <c r="F30" s="1558"/>
      <c r="G30" s="1558"/>
    </row>
  </sheetData>
  <mergeCells count="11">
    <mergeCell ref="E4:G4"/>
    <mergeCell ref="A30:G30"/>
    <mergeCell ref="A6:G6"/>
    <mergeCell ref="A7:G7"/>
    <mergeCell ref="G8:G11"/>
    <mergeCell ref="A8:A11"/>
    <mergeCell ref="B8:B11"/>
    <mergeCell ref="C8:C11"/>
    <mergeCell ref="D8:D11"/>
    <mergeCell ref="E8:E11"/>
    <mergeCell ref="E5:G5"/>
  </mergeCells>
  <pageMargins left="0.70866141732283472" right="0.70866141732283472" top="0.74803149606299213" bottom="0.74803149606299213" header="0.31496062992125984" footer="0.31496062992125984"/>
  <pageSetup paperSize="9" scale="9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showZeros="0" topLeftCell="A7" workbookViewId="0">
      <selection activeCell="E33" sqref="E33"/>
    </sheetView>
  </sheetViews>
  <sheetFormatPr baseColWidth="10" defaultRowHeight="12"/>
  <cols>
    <col min="1" max="1" width="60" style="10" customWidth="1"/>
    <col min="2" max="3" width="15.7109375" style="10" customWidth="1"/>
    <col min="4" max="4" width="8.42578125" style="10" customWidth="1"/>
    <col min="5" max="7" width="15.7109375" style="10" customWidth="1"/>
    <col min="8" max="16384" width="11.42578125" style="10"/>
  </cols>
  <sheetData>
    <row r="1" spans="1:7">
      <c r="A1" s="168"/>
    </row>
    <row r="2" spans="1:7">
      <c r="A2" s="1"/>
    </row>
    <row r="3" spans="1:7">
      <c r="A3" s="251"/>
    </row>
    <row r="4" spans="1:7">
      <c r="A4" s="251"/>
    </row>
    <row r="5" spans="1:7" ht="14.25">
      <c r="A5" s="4" t="str">
        <f>_soNom</f>
        <v>Cecotra</v>
      </c>
      <c r="B5" s="87"/>
      <c r="C5" s="87"/>
      <c r="D5" s="87"/>
      <c r="E5" s="1342" t="str">
        <f>_ExerClos</f>
        <v>Exercice clos le 31/12/2025</v>
      </c>
      <c r="F5" s="1342"/>
      <c r="G5" s="1342"/>
    </row>
    <row r="6" spans="1:7" ht="15" customHeight="1">
      <c r="A6" s="6"/>
      <c r="B6" s="87"/>
      <c r="C6" s="87"/>
      <c r="D6" s="87"/>
      <c r="E6" s="1341" t="str">
        <f>_Duree</f>
        <v>Durée (en mois) 12</v>
      </c>
      <c r="F6" s="1341"/>
      <c r="G6" s="1341"/>
    </row>
    <row r="7" spans="1:7">
      <c r="A7" s="251"/>
    </row>
    <row r="8" spans="1:7">
      <c r="A8" s="1571" t="s">
        <v>601</v>
      </c>
      <c r="B8" s="1571"/>
      <c r="C8" s="1571"/>
      <c r="D8" s="1571"/>
      <c r="E8" s="1571"/>
      <c r="F8" s="1571"/>
      <c r="G8" s="1571"/>
    </row>
    <row r="9" spans="1:7" ht="12.75" thickBot="1">
      <c r="A9" s="1572" t="s">
        <v>483</v>
      </c>
      <c r="B9" s="1572"/>
      <c r="C9" s="1572"/>
      <c r="D9" s="1572"/>
      <c r="E9" s="1572"/>
      <c r="F9" s="1572"/>
      <c r="G9" s="1572"/>
    </row>
    <row r="10" spans="1:7">
      <c r="A10" s="1418" t="s">
        <v>416</v>
      </c>
      <c r="B10" s="1418" t="str">
        <f>_ExerFin</f>
        <v xml:space="preserve"> 31/12/2025</v>
      </c>
      <c r="C10" s="1418" t="str">
        <f>_ExerFin1</f>
        <v xml:space="preserve"> 31/12/2024</v>
      </c>
      <c r="D10" s="1418" t="s">
        <v>417</v>
      </c>
      <c r="E10" s="1418" t="s">
        <v>418</v>
      </c>
      <c r="F10" s="1152" t="s">
        <v>466</v>
      </c>
      <c r="G10" s="1418" t="s">
        <v>421</v>
      </c>
    </row>
    <row r="11" spans="1:7">
      <c r="A11" s="1573"/>
      <c r="B11" s="1573"/>
      <c r="C11" s="1573"/>
      <c r="D11" s="1573"/>
      <c r="E11" s="1573"/>
      <c r="F11" s="1153" t="s">
        <v>467</v>
      </c>
      <c r="G11" s="1573"/>
    </row>
    <row r="12" spans="1:7">
      <c r="A12" s="1573"/>
      <c r="B12" s="1573"/>
      <c r="C12" s="1573"/>
      <c r="D12" s="1573"/>
      <c r="E12" s="1573"/>
      <c r="F12" s="1153" t="s">
        <v>468</v>
      </c>
      <c r="G12" s="1573"/>
    </row>
    <row r="13" spans="1:7" ht="12.75" thickBot="1">
      <c r="A13" s="1574"/>
      <c r="B13" s="1574"/>
      <c r="C13" s="1574"/>
      <c r="D13" s="1574"/>
      <c r="E13" s="1574"/>
      <c r="F13" s="84" t="s">
        <v>484</v>
      </c>
      <c r="G13" s="1574"/>
    </row>
    <row r="14" spans="1:7" ht="15" customHeight="1" thickBot="1">
      <c r="A14" s="211" t="s">
        <v>304</v>
      </c>
      <c r="B14" s="999">
        <v>0</v>
      </c>
      <c r="C14" s="999">
        <v>0</v>
      </c>
      <c r="D14" s="999">
        <f>IF(C14=0,0,(B14-C14)/C14)*100</f>
        <v>0</v>
      </c>
      <c r="E14" s="999"/>
      <c r="F14" s="999"/>
      <c r="G14" s="999"/>
    </row>
    <row r="15" spans="1:7" ht="15" customHeight="1" thickBot="1">
      <c r="A15" s="211" t="s">
        <v>485</v>
      </c>
      <c r="B15" s="999">
        <v>0</v>
      </c>
      <c r="C15" s="999">
        <v>0</v>
      </c>
      <c r="D15" s="999">
        <f t="shared" ref="D15:D28" si="0">IF(C15=0,0,(B15-C15)/C15)*100</f>
        <v>0</v>
      </c>
      <c r="E15" s="999"/>
      <c r="F15" s="999"/>
      <c r="G15" s="999"/>
    </row>
    <row r="16" spans="1:7" ht="15" customHeight="1" thickBot="1">
      <c r="A16" s="211" t="s">
        <v>486</v>
      </c>
      <c r="B16" s="999">
        <v>0</v>
      </c>
      <c r="C16" s="999">
        <v>0</v>
      </c>
      <c r="D16" s="999">
        <f t="shared" si="0"/>
        <v>0</v>
      </c>
      <c r="E16" s="999">
        <v>0</v>
      </c>
      <c r="F16" s="999">
        <f>C16</f>
        <v>0</v>
      </c>
      <c r="G16" s="999">
        <v>0</v>
      </c>
    </row>
    <row r="17" spans="1:7" ht="15" customHeight="1" thickBot="1">
      <c r="A17" s="211" t="s">
        <v>307</v>
      </c>
      <c r="B17" s="999">
        <v>0</v>
      </c>
      <c r="C17" s="999">
        <v>0</v>
      </c>
      <c r="D17" s="999">
        <f t="shared" si="0"/>
        <v>0</v>
      </c>
      <c r="E17" s="999"/>
      <c r="F17" s="999"/>
      <c r="G17" s="999"/>
    </row>
    <row r="18" spans="1:7" ht="15" customHeight="1" thickBot="1">
      <c r="A18" s="211" t="s">
        <v>487</v>
      </c>
      <c r="B18" s="999">
        <v>0</v>
      </c>
      <c r="C18" s="999">
        <v>0</v>
      </c>
      <c r="D18" s="999">
        <f t="shared" si="0"/>
        <v>0</v>
      </c>
      <c r="E18" s="999"/>
      <c r="F18" s="999"/>
      <c r="G18" s="999"/>
    </row>
    <row r="19" spans="1:7" ht="15" customHeight="1" thickBot="1">
      <c r="A19" s="211" t="s">
        <v>488</v>
      </c>
      <c r="B19" s="999">
        <v>0</v>
      </c>
      <c r="C19" s="999">
        <v>0</v>
      </c>
      <c r="D19" s="999">
        <f t="shared" si="0"/>
        <v>0</v>
      </c>
      <c r="E19" s="999"/>
      <c r="F19" s="999"/>
      <c r="G19" s="999"/>
    </row>
    <row r="20" spans="1:7" ht="15" customHeight="1" thickBot="1">
      <c r="A20" s="211" t="s">
        <v>489</v>
      </c>
      <c r="B20" s="999">
        <v>0</v>
      </c>
      <c r="C20" s="999">
        <v>0</v>
      </c>
      <c r="D20" s="999">
        <f t="shared" si="0"/>
        <v>0</v>
      </c>
      <c r="E20" s="999">
        <v>0</v>
      </c>
      <c r="F20" s="999">
        <f>C20</f>
        <v>0</v>
      </c>
      <c r="G20" s="999">
        <v>0</v>
      </c>
    </row>
    <row r="21" spans="1:7" ht="15" customHeight="1" thickBot="1">
      <c r="A21" s="211" t="s">
        <v>490</v>
      </c>
      <c r="B21" s="999">
        <v>0</v>
      </c>
      <c r="C21" s="999">
        <v>0</v>
      </c>
      <c r="D21" s="999">
        <f t="shared" si="0"/>
        <v>0</v>
      </c>
      <c r="E21" s="999"/>
      <c r="F21" s="999"/>
      <c r="G21" s="999"/>
    </row>
    <row r="22" spans="1:7" ht="15" customHeight="1" thickBot="1">
      <c r="A22" s="211" t="s">
        <v>491</v>
      </c>
      <c r="B22" s="999">
        <v>0</v>
      </c>
      <c r="C22" s="999">
        <v>0</v>
      </c>
      <c r="D22" s="999">
        <f t="shared" si="0"/>
        <v>0</v>
      </c>
      <c r="E22" s="999"/>
      <c r="F22" s="999"/>
      <c r="G22" s="999"/>
    </row>
    <row r="23" spans="1:7" ht="15" customHeight="1" thickBot="1">
      <c r="A23" s="211" t="s">
        <v>492</v>
      </c>
      <c r="B23" s="1000">
        <v>0</v>
      </c>
      <c r="C23" s="1000">
        <v>0</v>
      </c>
      <c r="D23" s="999">
        <f t="shared" si="0"/>
        <v>0</v>
      </c>
      <c r="E23" s="1000"/>
      <c r="F23" s="1000"/>
      <c r="G23" s="1000"/>
    </row>
    <row r="24" spans="1:7" ht="15" customHeight="1" thickBot="1">
      <c r="A24" s="250" t="s">
        <v>493</v>
      </c>
      <c r="B24" s="1001">
        <f>SUM(B14:B23)</f>
        <v>0</v>
      </c>
      <c r="C24" s="1001">
        <f t="shared" ref="C24:G24" si="1">SUM(C14:C23)</f>
        <v>0</v>
      </c>
      <c r="D24" s="1001">
        <f t="shared" si="0"/>
        <v>0</v>
      </c>
      <c r="E24" s="1001">
        <f t="shared" si="1"/>
        <v>0</v>
      </c>
      <c r="F24" s="1001">
        <f t="shared" si="1"/>
        <v>0</v>
      </c>
      <c r="G24" s="1001">
        <f t="shared" si="1"/>
        <v>0</v>
      </c>
    </row>
    <row r="25" spans="1:7" ht="15" customHeight="1" thickBot="1">
      <c r="A25" s="211" t="s">
        <v>7</v>
      </c>
      <c r="B25" s="999">
        <v>0</v>
      </c>
      <c r="C25" s="999">
        <v>0</v>
      </c>
      <c r="D25" s="999">
        <f t="shared" si="0"/>
        <v>0</v>
      </c>
      <c r="E25" s="999"/>
      <c r="F25" s="999"/>
      <c r="G25" s="999"/>
    </row>
    <row r="26" spans="1:7" ht="15" customHeight="1" thickBot="1">
      <c r="A26" s="211" t="s">
        <v>494</v>
      </c>
      <c r="B26" s="999">
        <v>0</v>
      </c>
      <c r="C26" s="999">
        <v>0</v>
      </c>
      <c r="D26" s="999">
        <f t="shared" si="0"/>
        <v>0</v>
      </c>
      <c r="E26" s="999"/>
      <c r="F26" s="999"/>
      <c r="G26" s="999"/>
    </row>
    <row r="27" spans="1:7" ht="15" customHeight="1" thickBot="1">
      <c r="A27" s="211" t="s">
        <v>7</v>
      </c>
      <c r="B27" s="999">
        <v>0</v>
      </c>
      <c r="C27" s="999">
        <v>0</v>
      </c>
      <c r="D27" s="999">
        <f t="shared" si="0"/>
        <v>0</v>
      </c>
      <c r="E27" s="999"/>
      <c r="F27" s="999"/>
      <c r="G27" s="999"/>
    </row>
    <row r="28" spans="1:7" ht="15" customHeight="1" thickBot="1">
      <c r="A28" s="213" t="s">
        <v>431</v>
      </c>
      <c r="B28" s="1002">
        <f>B24-B26</f>
        <v>0</v>
      </c>
      <c r="C28" s="1002">
        <f>C24-C26</f>
        <v>0</v>
      </c>
      <c r="D28" s="1001">
        <f t="shared" si="0"/>
        <v>0</v>
      </c>
      <c r="E28" s="1002">
        <f>E24-E26</f>
        <v>0</v>
      </c>
      <c r="F28" s="1002">
        <f t="shared" ref="F28:G28" si="2">F24-F26</f>
        <v>0</v>
      </c>
      <c r="G28" s="1002">
        <f t="shared" si="2"/>
        <v>0</v>
      </c>
    </row>
    <row r="29" spans="1:7">
      <c r="A29" s="167" t="s">
        <v>0</v>
      </c>
    </row>
    <row r="30" spans="1:7">
      <c r="A30" s="167" t="s">
        <v>563</v>
      </c>
    </row>
    <row r="31" spans="1:7">
      <c r="A31" s="168" t="s">
        <v>602</v>
      </c>
    </row>
    <row r="32" spans="1:7">
      <c r="A32" s="168" t="s">
        <v>603</v>
      </c>
    </row>
    <row r="33" spans="1:1">
      <c r="A33" s="168" t="s">
        <v>604</v>
      </c>
    </row>
    <row r="34" spans="1:1">
      <c r="A34" s="168" t="s">
        <v>605</v>
      </c>
    </row>
    <row r="35" spans="1:1">
      <c r="A35" s="168" t="s">
        <v>606</v>
      </c>
    </row>
  </sheetData>
  <mergeCells count="10">
    <mergeCell ref="E5:G5"/>
    <mergeCell ref="E6:G6"/>
    <mergeCell ref="A8:G8"/>
    <mergeCell ref="A9:G9"/>
    <mergeCell ref="G10:G13"/>
    <mergeCell ref="A10:A13"/>
    <mergeCell ref="B10:B13"/>
    <mergeCell ref="C10:C13"/>
    <mergeCell ref="D10:D13"/>
    <mergeCell ref="E10:E13"/>
  </mergeCells>
  <pageMargins left="0.47" right="0.2" top="0.74803149606299213" bottom="0.74803149606299213" header="0.31496062992125984" footer="0.31496062992125984"/>
  <pageSetup paperSize="9" scale="9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opLeftCell="A7" workbookViewId="0">
      <selection activeCell="I17" sqref="I17"/>
    </sheetView>
  </sheetViews>
  <sheetFormatPr baseColWidth="10" defaultRowHeight="12"/>
  <cols>
    <col min="1" max="1" width="61.7109375" style="87" customWidth="1"/>
    <col min="2" max="16384" width="11.42578125" style="87"/>
  </cols>
  <sheetData>
    <row r="1" spans="1:7">
      <c r="A1" s="209"/>
    </row>
    <row r="2" spans="1:7">
      <c r="A2" s="209"/>
    </row>
    <row r="3" spans="1:7">
      <c r="A3" s="209"/>
    </row>
    <row r="4" spans="1:7">
      <c r="A4" s="252" t="s">
        <v>495</v>
      </c>
    </row>
    <row r="5" spans="1:7">
      <c r="A5" s="252"/>
    </row>
    <row r="6" spans="1:7" s="10" customFormat="1" ht="14.25">
      <c r="A6" s="4" t="str">
        <f>_soNom</f>
        <v>Cecotra</v>
      </c>
      <c r="B6" s="87"/>
      <c r="C6" s="87"/>
      <c r="D6" s="87"/>
      <c r="E6" s="1342" t="str">
        <f>_ExerClos</f>
        <v>Exercice clos le 31/12/2025</v>
      </c>
      <c r="F6" s="1342"/>
      <c r="G6" s="1342"/>
    </row>
    <row r="7" spans="1:7" s="10" customFormat="1" ht="15" customHeight="1">
      <c r="A7" s="6" t="str">
        <f>_soId</f>
        <v> 3201810353457</v>
      </c>
      <c r="B7" s="87"/>
      <c r="C7" s="87"/>
      <c r="D7" s="87"/>
      <c r="E7" s="1341" t="str">
        <f>_Duree</f>
        <v>Durée (en mois) 12</v>
      </c>
      <c r="F7" s="1341"/>
      <c r="G7" s="1341"/>
    </row>
    <row r="8" spans="1:7">
      <c r="A8" s="146"/>
    </row>
    <row r="9" spans="1:7" ht="14.25">
      <c r="A9" s="1497" t="s">
        <v>607</v>
      </c>
      <c r="B9" s="1497"/>
      <c r="C9" s="1497"/>
      <c r="D9" s="1497"/>
      <c r="E9" s="1497"/>
      <c r="F9" s="1497"/>
      <c r="G9" s="1497"/>
    </row>
    <row r="10" spans="1:7" ht="15.75" customHeight="1" thickBot="1">
      <c r="A10" s="1518" t="s">
        <v>609</v>
      </c>
      <c r="B10" s="1518"/>
      <c r="C10" s="1518"/>
      <c r="D10" s="1518"/>
      <c r="E10" s="1518"/>
      <c r="F10" s="1518"/>
      <c r="G10" s="1518"/>
    </row>
    <row r="11" spans="1:7" ht="31.5" customHeight="1" thickBot="1">
      <c r="A11" s="253" t="s">
        <v>416</v>
      </c>
      <c r="B11" s="1514" t="s">
        <v>496</v>
      </c>
      <c r="C11" s="1515"/>
      <c r="D11" s="1514" t="s">
        <v>497</v>
      </c>
      <c r="E11" s="1515"/>
      <c r="F11" s="1514" t="s">
        <v>498</v>
      </c>
      <c r="G11" s="1515"/>
    </row>
    <row r="12" spans="1:7" ht="33" customHeight="1" thickBot="1">
      <c r="A12" s="254" t="s">
        <v>608</v>
      </c>
      <c r="B12" s="1516" t="s">
        <v>7</v>
      </c>
      <c r="C12" s="1517"/>
      <c r="D12" s="1516" t="s">
        <v>7</v>
      </c>
      <c r="E12" s="1517"/>
      <c r="F12" s="1516" t="s">
        <v>7</v>
      </c>
      <c r="G12" s="1517"/>
    </row>
    <row r="13" spans="1:7" ht="24.75" customHeight="1" thickBot="1">
      <c r="A13" s="254" t="s">
        <v>499</v>
      </c>
      <c r="B13" s="1516" t="s">
        <v>7</v>
      </c>
      <c r="C13" s="1517"/>
      <c r="D13" s="1516" t="s">
        <v>7</v>
      </c>
      <c r="E13" s="1517"/>
      <c r="F13" s="1516" t="s">
        <v>7</v>
      </c>
      <c r="G13" s="1517"/>
    </row>
    <row r="14" spans="1:7" ht="15" customHeight="1" thickBot="1">
      <c r="A14" s="1511" t="s">
        <v>500</v>
      </c>
      <c r="B14" s="255" t="s">
        <v>501</v>
      </c>
      <c r="C14" s="212" t="s">
        <v>502</v>
      </c>
      <c r="D14" s="212" t="s">
        <v>503</v>
      </c>
      <c r="E14" s="212" t="s">
        <v>502</v>
      </c>
      <c r="F14" s="255" t="s">
        <v>503</v>
      </c>
      <c r="G14" s="255" t="s">
        <v>502</v>
      </c>
    </row>
    <row r="15" spans="1:7" ht="15" customHeight="1" thickBot="1">
      <c r="A15" s="1512"/>
      <c r="B15" s="212" t="s">
        <v>504</v>
      </c>
      <c r="C15" s="512"/>
      <c r="D15" s="212" t="s">
        <v>504</v>
      </c>
      <c r="E15" s="512"/>
      <c r="F15" s="212">
        <v>6714</v>
      </c>
      <c r="G15" s="212"/>
    </row>
    <row r="16" spans="1:7" ht="15" customHeight="1" thickBot="1">
      <c r="A16" s="1512"/>
      <c r="B16" s="212" t="s">
        <v>505</v>
      </c>
      <c r="C16" s="512"/>
      <c r="D16" s="212" t="s">
        <v>505</v>
      </c>
      <c r="E16" s="512"/>
      <c r="F16" s="216"/>
      <c r="G16" s="216"/>
    </row>
    <row r="17" spans="1:7" ht="15" customHeight="1" thickBot="1">
      <c r="A17" s="1512"/>
      <c r="B17" s="212" t="s">
        <v>506</v>
      </c>
      <c r="C17" s="512"/>
      <c r="D17" s="212" t="s">
        <v>506</v>
      </c>
      <c r="E17" s="512"/>
      <c r="F17" s="216"/>
      <c r="G17" s="216"/>
    </row>
    <row r="18" spans="1:7" ht="15" customHeight="1" thickBot="1">
      <c r="A18" s="1512"/>
      <c r="B18" s="212" t="s">
        <v>507</v>
      </c>
      <c r="C18" s="512"/>
      <c r="D18" s="212" t="s">
        <v>507</v>
      </c>
      <c r="E18" s="512"/>
      <c r="F18" s="216"/>
      <c r="G18" s="216"/>
    </row>
    <row r="19" spans="1:7" ht="15" customHeight="1" thickBot="1">
      <c r="A19" s="1513"/>
      <c r="B19" s="212" t="s">
        <v>508</v>
      </c>
      <c r="C19" s="512"/>
      <c r="D19" s="212" t="s">
        <v>508</v>
      </c>
      <c r="E19" s="512"/>
      <c r="F19" s="216"/>
      <c r="G19" s="216"/>
    </row>
    <row r="20" spans="1:7" ht="15" customHeight="1" thickBot="1">
      <c r="A20" s="254" t="s">
        <v>509</v>
      </c>
      <c r="B20" s="256" t="s">
        <v>7</v>
      </c>
      <c r="C20" s="512"/>
      <c r="D20" s="212" t="s">
        <v>7</v>
      </c>
      <c r="E20" s="512"/>
      <c r="F20" s="212" t="s">
        <v>7</v>
      </c>
      <c r="G20" s="212"/>
    </row>
    <row r="21" spans="1:7" ht="15" customHeight="1" thickBot="1">
      <c r="A21" s="254" t="s">
        <v>510</v>
      </c>
      <c r="B21" s="212" t="s">
        <v>7</v>
      </c>
      <c r="C21" s="512"/>
      <c r="D21" s="212" t="s">
        <v>7</v>
      </c>
      <c r="E21" s="512"/>
      <c r="F21" s="212" t="s">
        <v>7</v>
      </c>
      <c r="G21" s="212"/>
    </row>
    <row r="22" spans="1:7" ht="15" customHeight="1" thickBot="1">
      <c r="A22" s="254" t="s">
        <v>511</v>
      </c>
      <c r="B22" s="212" t="s">
        <v>7</v>
      </c>
      <c r="C22" s="512"/>
      <c r="D22" s="212" t="s">
        <v>7</v>
      </c>
      <c r="E22" s="512"/>
      <c r="F22" s="212" t="s">
        <v>7</v>
      </c>
      <c r="G22" s="212"/>
    </row>
    <row r="23" spans="1:7" ht="15" customHeight="1" thickBot="1">
      <c r="A23" s="254" t="s">
        <v>512</v>
      </c>
      <c r="B23" s="212" t="s">
        <v>7</v>
      </c>
      <c r="C23" s="512"/>
      <c r="D23" s="212" t="s">
        <v>7</v>
      </c>
      <c r="E23" s="512"/>
      <c r="F23" s="212" t="s">
        <v>7</v>
      </c>
      <c r="G23" s="212"/>
    </row>
    <row r="24" spans="1:7" ht="15" customHeight="1" thickBot="1">
      <c r="A24" s="254" t="s">
        <v>513</v>
      </c>
      <c r="B24" s="212" t="s">
        <v>7</v>
      </c>
      <c r="C24" s="512"/>
      <c r="D24" s="212" t="s">
        <v>7</v>
      </c>
      <c r="E24" s="512"/>
      <c r="F24" s="212" t="s">
        <v>7</v>
      </c>
      <c r="G24" s="212"/>
    </row>
    <row r="25" spans="1:7" ht="15" customHeight="1" thickBot="1">
      <c r="A25" s="257" t="s">
        <v>64</v>
      </c>
      <c r="B25" s="256" t="s">
        <v>7</v>
      </c>
      <c r="C25" s="513"/>
      <c r="D25" s="214" t="s">
        <v>7</v>
      </c>
      <c r="E25" s="513"/>
      <c r="F25" s="214" t="s">
        <v>7</v>
      </c>
      <c r="G25" s="214"/>
    </row>
    <row r="26" spans="1:7" ht="13.5">
      <c r="A26" s="220" t="s">
        <v>0</v>
      </c>
      <c r="C26" s="258" t="s">
        <v>0</v>
      </c>
    </row>
  </sheetData>
  <mergeCells count="14">
    <mergeCell ref="E6:G6"/>
    <mergeCell ref="E7:G7"/>
    <mergeCell ref="A14:A19"/>
    <mergeCell ref="B11:C11"/>
    <mergeCell ref="D11:E11"/>
    <mergeCell ref="F11:G11"/>
    <mergeCell ref="B12:C12"/>
    <mergeCell ref="D12:E12"/>
    <mergeCell ref="F12:G12"/>
    <mergeCell ref="A9:G9"/>
    <mergeCell ref="A10:G10"/>
    <mergeCell ref="B13:C13"/>
    <mergeCell ref="D13:E13"/>
    <mergeCell ref="F13:G13"/>
  </mergeCells>
  <pageMargins left="0.7" right="0.7" top="0.75" bottom="0.75" header="0.3" footer="0.3"/>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showZeros="0" tabSelected="1" workbookViewId="0">
      <selection activeCell="A4" sqref="A4"/>
    </sheetView>
  </sheetViews>
  <sheetFormatPr baseColWidth="10" defaultRowHeight="12"/>
  <cols>
    <col min="1" max="1" width="51.28515625" style="87" customWidth="1"/>
    <col min="2" max="3" width="15.7109375" style="87" customWidth="1"/>
    <col min="4" max="4" width="12.140625" style="87" customWidth="1"/>
    <col min="5" max="16384" width="11.42578125" style="87"/>
  </cols>
  <sheetData>
    <row r="1" spans="1:6">
      <c r="A1" s="209"/>
    </row>
    <row r="2" spans="1:6">
      <c r="A2" s="259" t="s">
        <v>7</v>
      </c>
    </row>
    <row r="3" spans="1:6">
      <c r="A3" s="241"/>
    </row>
    <row r="4" spans="1:6" s="10" customFormat="1" ht="14.25">
      <c r="A4" s="4" t="str">
        <f>_soNom</f>
        <v>Cecotra</v>
      </c>
      <c r="B4" s="1342" t="str">
        <f>_ExerClos</f>
        <v>Exercice clos le 31/12/2025</v>
      </c>
      <c r="C4" s="1342"/>
      <c r="D4" s="1342"/>
    </row>
    <row r="5" spans="1:6" s="10" customFormat="1" ht="15" customHeight="1">
      <c r="A5" s="6" t="str">
        <f>_soId</f>
        <v> 3201810353457</v>
      </c>
      <c r="B5" s="1341" t="str">
        <f>_Duree</f>
        <v>Durée (en mois) 12</v>
      </c>
      <c r="C5" s="1341"/>
      <c r="D5" s="1341"/>
    </row>
    <row r="6" spans="1:6">
      <c r="A6" s="241"/>
    </row>
    <row r="7" spans="1:6" ht="14.25">
      <c r="A7" s="1577" t="s">
        <v>616</v>
      </c>
      <c r="B7" s="1577"/>
      <c r="C7" s="1577"/>
      <c r="D7" s="1577"/>
      <c r="E7" s="261"/>
      <c r="F7" s="261"/>
    </row>
    <row r="8" spans="1:6" ht="15" thickBot="1">
      <c r="A8" s="1578" t="s">
        <v>514</v>
      </c>
      <c r="B8" s="1578"/>
      <c r="C8" s="1578"/>
      <c r="D8" s="1578"/>
      <c r="E8" s="221"/>
      <c r="F8" s="221"/>
    </row>
    <row r="9" spans="1:6">
      <c r="A9" s="1580" t="s">
        <v>610</v>
      </c>
      <c r="B9" s="1418" t="str">
        <f>_ExerFin</f>
        <v xml:space="preserve"> 31/12/2025</v>
      </c>
      <c r="C9" s="1575" t="str">
        <f>_ExerFin1</f>
        <v xml:space="preserve"> 31/12/2024</v>
      </c>
      <c r="D9" s="1418" t="s">
        <v>611</v>
      </c>
    </row>
    <row r="10" spans="1:6" ht="15.75" customHeight="1" thickBot="1">
      <c r="A10" s="1581"/>
      <c r="B10" s="1574"/>
      <c r="C10" s="1576"/>
      <c r="D10" s="1574"/>
    </row>
    <row r="11" spans="1:6" ht="15" customHeight="1" thickBot="1">
      <c r="A11" s="211" t="s">
        <v>516</v>
      </c>
      <c r="B11" s="1003">
        <v>0</v>
      </c>
      <c r="C11" s="1003">
        <v>0</v>
      </c>
      <c r="D11" s="1003">
        <f>IF(C11=0,0,(B11-C11)/C11)*100</f>
        <v>0</v>
      </c>
    </row>
    <row r="12" spans="1:6" ht="15" customHeight="1" thickBot="1">
      <c r="A12" s="211" t="s">
        <v>517</v>
      </c>
      <c r="B12" s="1003">
        <v>0</v>
      </c>
      <c r="C12" s="1003">
        <v>0</v>
      </c>
      <c r="D12" s="1003">
        <f t="shared" ref="D12:D22" si="0">IF(C12=0,0,(B12-C12)/C12)*100</f>
        <v>0</v>
      </c>
    </row>
    <row r="13" spans="1:6" ht="15" customHeight="1" thickBot="1">
      <c r="A13" s="211" t="s">
        <v>518</v>
      </c>
      <c r="B13" s="1003">
        <v>0</v>
      </c>
      <c r="C13" s="1003">
        <v>0</v>
      </c>
      <c r="D13" s="1003">
        <f t="shared" si="0"/>
        <v>0</v>
      </c>
    </row>
    <row r="14" spans="1:6" ht="15" customHeight="1" thickBot="1">
      <c r="A14" s="211" t="s">
        <v>519</v>
      </c>
      <c r="B14" s="1003">
        <v>0</v>
      </c>
      <c r="C14" s="1003">
        <v>0</v>
      </c>
      <c r="D14" s="1003">
        <f t="shared" si="0"/>
        <v>0</v>
      </c>
    </row>
    <row r="15" spans="1:6" ht="15" customHeight="1" thickBot="1">
      <c r="A15" s="211" t="s">
        <v>520</v>
      </c>
      <c r="B15" s="1003">
        <v>0</v>
      </c>
      <c r="C15" s="1003">
        <v>0</v>
      </c>
      <c r="D15" s="1003">
        <f t="shared" si="0"/>
        <v>0</v>
      </c>
    </row>
    <row r="16" spans="1:6" ht="15" customHeight="1" thickBot="1">
      <c r="A16" s="211" t="s">
        <v>427</v>
      </c>
      <c r="B16" s="1003">
        <v>0</v>
      </c>
      <c r="C16" s="1003">
        <v>0</v>
      </c>
      <c r="D16" s="1003">
        <f t="shared" si="0"/>
        <v>0</v>
      </c>
    </row>
    <row r="17" spans="1:4" ht="15" customHeight="1" thickBot="1">
      <c r="A17" s="211" t="s">
        <v>521</v>
      </c>
      <c r="B17" s="1003">
        <v>0</v>
      </c>
      <c r="C17" s="1003">
        <v>0</v>
      </c>
      <c r="D17" s="1003">
        <f t="shared" si="0"/>
        <v>0</v>
      </c>
    </row>
    <row r="18" spans="1:4" ht="15" customHeight="1" thickBot="1">
      <c r="A18" s="213" t="s">
        <v>522</v>
      </c>
      <c r="B18" s="1004">
        <f>SUM(B11:B17)</f>
        <v>0</v>
      </c>
      <c r="C18" s="1004">
        <f>SUM(C11:C17)</f>
        <v>0</v>
      </c>
      <c r="D18" s="1005">
        <f t="shared" si="0"/>
        <v>0</v>
      </c>
    </row>
    <row r="19" spans="1:4" ht="15" customHeight="1" thickBot="1">
      <c r="A19" s="211"/>
      <c r="B19" s="211"/>
      <c r="C19" s="211"/>
      <c r="D19" s="1003">
        <f t="shared" si="0"/>
        <v>0</v>
      </c>
    </row>
    <row r="20" spans="1:4" ht="15" customHeight="1" thickBot="1">
      <c r="A20" s="211" t="s">
        <v>523</v>
      </c>
      <c r="B20" s="1003">
        <v>0</v>
      </c>
      <c r="C20" s="1003">
        <v>0</v>
      </c>
      <c r="D20" s="1003">
        <f t="shared" si="0"/>
        <v>0</v>
      </c>
    </row>
    <row r="21" spans="1:4" ht="15" customHeight="1" thickBot="1">
      <c r="A21" s="211" t="s">
        <v>7</v>
      </c>
      <c r="B21" s="1003"/>
      <c r="C21" s="1003"/>
      <c r="D21" s="1003">
        <f t="shared" si="0"/>
        <v>0</v>
      </c>
    </row>
    <row r="22" spans="1:4" ht="15" customHeight="1" thickBot="1">
      <c r="A22" s="215" t="s">
        <v>431</v>
      </c>
      <c r="B22" s="1005">
        <f>B18-B20</f>
        <v>0</v>
      </c>
      <c r="C22" s="1005">
        <f>C18-C20</f>
        <v>0</v>
      </c>
      <c r="D22" s="1005">
        <f t="shared" si="0"/>
        <v>0</v>
      </c>
    </row>
    <row r="23" spans="1:4">
      <c r="A23" s="167" t="s">
        <v>612</v>
      </c>
    </row>
    <row r="24" spans="1:4">
      <c r="A24" s="262" t="s">
        <v>600</v>
      </c>
      <c r="B24" s="263"/>
      <c r="C24" s="263"/>
      <c r="D24" s="263"/>
    </row>
    <row r="25" spans="1:4" ht="36" customHeight="1">
      <c r="A25" s="1579" t="s">
        <v>613</v>
      </c>
      <c r="B25" s="1579"/>
      <c r="C25" s="1579"/>
      <c r="D25" s="1579"/>
    </row>
    <row r="26" spans="1:4">
      <c r="A26" s="1487" t="s">
        <v>614</v>
      </c>
      <c r="B26" s="1487"/>
      <c r="C26" s="1487"/>
    </row>
    <row r="27" spans="1:4">
      <c r="A27" s="1487" t="s">
        <v>615</v>
      </c>
      <c r="B27" s="1487"/>
      <c r="C27" s="1487"/>
      <c r="D27" s="1487"/>
    </row>
    <row r="28" spans="1:4">
      <c r="A28" s="260"/>
    </row>
    <row r="29" spans="1:4">
      <c r="A29" s="260"/>
    </row>
    <row r="30" spans="1:4">
      <c r="A30" s="260"/>
    </row>
  </sheetData>
  <mergeCells count="11">
    <mergeCell ref="A25:D25"/>
    <mergeCell ref="A26:C26"/>
    <mergeCell ref="A27:D27"/>
    <mergeCell ref="A9:A10"/>
    <mergeCell ref="B9:B10"/>
    <mergeCell ref="D9:D10"/>
    <mergeCell ref="B4:D4"/>
    <mergeCell ref="B5:D5"/>
    <mergeCell ref="C9:C10"/>
    <mergeCell ref="A7:D7"/>
    <mergeCell ref="A8:D8"/>
  </mergeCells>
  <pageMargins left="0.17" right="0.19"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Zeros="0" workbookViewId="0">
      <selection activeCell="A4" sqref="A4"/>
    </sheetView>
  </sheetViews>
  <sheetFormatPr baseColWidth="10" defaultRowHeight="12"/>
  <cols>
    <col min="1" max="1" width="48.85546875" style="87" customWidth="1"/>
    <col min="2" max="3" width="15.7109375" style="87" customWidth="1"/>
    <col min="4" max="16384" width="11.42578125" style="87"/>
  </cols>
  <sheetData>
    <row r="1" spans="1:5">
      <c r="A1" s="260"/>
    </row>
    <row r="2" spans="1:5">
      <c r="A2" s="260"/>
    </row>
    <row r="3" spans="1:5">
      <c r="A3" s="259" t="s">
        <v>0</v>
      </c>
    </row>
    <row r="4" spans="1:5" s="10" customFormat="1" ht="15" customHeight="1">
      <c r="A4" s="4" t="str">
        <f>_soNom</f>
        <v>Cecotra</v>
      </c>
      <c r="C4" s="1341" t="str">
        <f>_ExerClos</f>
        <v>Exercice clos le 31/12/2025</v>
      </c>
      <c r="D4" s="1341"/>
    </row>
    <row r="5" spans="1:5" s="10" customFormat="1" ht="15" customHeight="1">
      <c r="A5" s="6" t="str">
        <f>_soId</f>
        <v> 3201810353457</v>
      </c>
      <c r="C5" s="1341" t="str">
        <f>_Duree</f>
        <v>Durée (en mois) 12</v>
      </c>
      <c r="D5" s="1341"/>
    </row>
    <row r="6" spans="1:5">
      <c r="A6" s="259"/>
    </row>
    <row r="7" spans="1:5" ht="14.25">
      <c r="A7" s="1497" t="s">
        <v>620</v>
      </c>
      <c r="B7" s="1497"/>
      <c r="C7" s="1497"/>
      <c r="D7" s="1497"/>
      <c r="E7" s="74"/>
    </row>
    <row r="8" spans="1:5" ht="15" thickBot="1">
      <c r="A8" s="1494" t="s">
        <v>524</v>
      </c>
      <c r="B8" s="1494"/>
      <c r="C8" s="1494"/>
      <c r="D8" s="1494"/>
      <c r="E8" s="90"/>
    </row>
    <row r="9" spans="1:5" ht="24.75" thickBot="1">
      <c r="A9" s="265" t="s">
        <v>416</v>
      </c>
      <c r="B9" s="265" t="str">
        <f>_ExerFin</f>
        <v xml:space="preserve"> 31/12/2025</v>
      </c>
      <c r="C9" s="265" t="str">
        <f>_ExerFin1</f>
        <v xml:space="preserve"> 31/12/2024</v>
      </c>
      <c r="D9" s="266" t="s">
        <v>417</v>
      </c>
    </row>
    <row r="10" spans="1:5" ht="15" customHeight="1">
      <c r="A10" s="95" t="s">
        <v>525</v>
      </c>
      <c r="B10" s="1006">
        <v>0</v>
      </c>
      <c r="C10" s="1006">
        <v>0</v>
      </c>
      <c r="D10" s="1007">
        <f>IF(C10=0,0,(B10-C10)/C10)*100</f>
        <v>0</v>
      </c>
    </row>
    <row r="11" spans="1:5" ht="15" customHeight="1">
      <c r="A11" s="92" t="s">
        <v>526</v>
      </c>
      <c r="B11" s="1008">
        <v>0</v>
      </c>
      <c r="C11" s="1008">
        <v>0</v>
      </c>
      <c r="D11" s="1007">
        <f t="shared" ref="D11:D20" si="0">IF(C11=0,0,(B11-C11)/C11)*100</f>
        <v>0</v>
      </c>
    </row>
    <row r="12" spans="1:5" ht="15" customHeight="1">
      <c r="A12" s="92" t="s">
        <v>527</v>
      </c>
      <c r="B12" s="1008">
        <v>0</v>
      </c>
      <c r="C12" s="1008">
        <v>0</v>
      </c>
      <c r="D12" s="1007">
        <f t="shared" si="0"/>
        <v>0</v>
      </c>
    </row>
    <row r="13" spans="1:5" ht="15" customHeight="1">
      <c r="A13" s="92" t="s">
        <v>528</v>
      </c>
      <c r="B13" s="1008">
        <v>0</v>
      </c>
      <c r="C13" s="1008">
        <v>0</v>
      </c>
      <c r="D13" s="1007">
        <f t="shared" si="0"/>
        <v>0</v>
      </c>
    </row>
    <row r="14" spans="1:5" ht="15" customHeight="1">
      <c r="A14" s="92" t="s">
        <v>529</v>
      </c>
      <c r="B14" s="1008">
        <v>0</v>
      </c>
      <c r="C14" s="1008">
        <v>0</v>
      </c>
      <c r="D14" s="1007">
        <f t="shared" si="0"/>
        <v>0</v>
      </c>
    </row>
    <row r="15" spans="1:5" ht="15" customHeight="1" thickBot="1">
      <c r="A15" s="94" t="s">
        <v>530</v>
      </c>
      <c r="B15" s="1009">
        <v>0</v>
      </c>
      <c r="C15" s="1009">
        <v>0</v>
      </c>
      <c r="D15" s="1007">
        <f t="shared" si="0"/>
        <v>0</v>
      </c>
    </row>
    <row r="16" spans="1:5" ht="15" customHeight="1" thickBot="1">
      <c r="A16" s="96" t="s">
        <v>531</v>
      </c>
      <c r="B16" s="1010">
        <f>SUM(B10:B15)</f>
        <v>0</v>
      </c>
      <c r="C16" s="1010">
        <f>SUM(C10:C15)</f>
        <v>0</v>
      </c>
      <c r="D16" s="1010">
        <f t="shared" si="0"/>
        <v>0</v>
      </c>
    </row>
    <row r="17" spans="1:4" ht="15" customHeight="1">
      <c r="A17" s="94"/>
      <c r="B17" s="94"/>
      <c r="C17" s="94"/>
      <c r="D17" s="1007">
        <f t="shared" si="0"/>
        <v>0</v>
      </c>
    </row>
    <row r="18" spans="1:4" ht="15" customHeight="1">
      <c r="A18" s="1154" t="s">
        <v>532</v>
      </c>
      <c r="B18" s="1155">
        <v>0</v>
      </c>
      <c r="C18" s="1155">
        <v>0</v>
      </c>
      <c r="D18" s="1007">
        <f t="shared" si="0"/>
        <v>0</v>
      </c>
    </row>
    <row r="19" spans="1:4" ht="15" customHeight="1" thickBot="1">
      <c r="A19" s="1154" t="s">
        <v>7</v>
      </c>
      <c r="B19" s="1155"/>
      <c r="C19" s="1155"/>
      <c r="D19" s="1007">
        <f t="shared" si="0"/>
        <v>0</v>
      </c>
    </row>
    <row r="20" spans="1:4" ht="15" customHeight="1" thickBot="1">
      <c r="A20" s="267" t="s">
        <v>431</v>
      </c>
      <c r="B20" s="1011">
        <f>B16-B18</f>
        <v>0</v>
      </c>
      <c r="C20" s="1011">
        <f>C16-C18</f>
        <v>0</v>
      </c>
      <c r="D20" s="1010">
        <f t="shared" si="0"/>
        <v>0</v>
      </c>
    </row>
    <row r="21" spans="1:4">
      <c r="A21" s="167" t="s">
        <v>617</v>
      </c>
    </row>
    <row r="22" spans="1:4">
      <c r="A22" s="168" t="s">
        <v>618</v>
      </c>
    </row>
    <row r="23" spans="1:4">
      <c r="A23" s="168" t="s">
        <v>619</v>
      </c>
    </row>
    <row r="24" spans="1:4">
      <c r="A24" s="259" t="s">
        <v>0</v>
      </c>
    </row>
    <row r="25" spans="1:4">
      <c r="A25" s="259" t="s">
        <v>0</v>
      </c>
    </row>
    <row r="26" spans="1:4">
      <c r="A26" s="259" t="s">
        <v>0</v>
      </c>
    </row>
    <row r="27" spans="1:4">
      <c r="A27" s="259" t="s">
        <v>0</v>
      </c>
    </row>
  </sheetData>
  <mergeCells count="4">
    <mergeCell ref="A8:D8"/>
    <mergeCell ref="A7:D7"/>
    <mergeCell ref="C4:D4"/>
    <mergeCell ref="C5:D5"/>
  </mergeCells>
  <pageMargins left="0.1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8"/>
  <sheetViews>
    <sheetView showZeros="0" topLeftCell="A16" workbookViewId="0">
      <selection activeCell="D27" sqref="D27"/>
    </sheetView>
  </sheetViews>
  <sheetFormatPr baseColWidth="10" defaultRowHeight="12"/>
  <cols>
    <col min="1" max="1" width="3.5703125" style="87" customWidth="1"/>
    <col min="2" max="2" width="41.7109375" style="87" customWidth="1"/>
    <col min="3" max="4" width="15.7109375" style="87" customWidth="1"/>
    <col min="5" max="5" width="12.5703125" style="87" bestFit="1" customWidth="1"/>
    <col min="6" max="16384" width="11.42578125" style="87"/>
  </cols>
  <sheetData>
    <row r="1" spans="2:5">
      <c r="B1" s="209"/>
    </row>
    <row r="2" spans="2:5">
      <c r="B2" s="259" t="s">
        <v>0</v>
      </c>
    </row>
    <row r="3" spans="2:5">
      <c r="B3" s="113" t="s">
        <v>621</v>
      </c>
    </row>
    <row r="4" spans="2:5" ht="14.25" customHeight="1">
      <c r="B4" s="113"/>
    </row>
    <row r="5" spans="2:5" s="10" customFormat="1" ht="14.25">
      <c r="B5" s="4" t="str">
        <f>_soNom</f>
        <v>Cecotra</v>
      </c>
      <c r="C5" s="1342" t="str">
        <f>_ExerClos</f>
        <v>Exercice clos le 31/12/2025</v>
      </c>
      <c r="D5" s="1342"/>
      <c r="E5" s="1342"/>
    </row>
    <row r="6" spans="2:5" s="10" customFormat="1" ht="15" customHeight="1">
      <c r="B6" s="6" t="str">
        <f>_soId</f>
        <v> 3201810353457</v>
      </c>
      <c r="C6" s="1341" t="str">
        <f>_Duree</f>
        <v>Durée (en mois) 12</v>
      </c>
      <c r="D6" s="1341"/>
      <c r="E6" s="1341"/>
    </row>
    <row r="7" spans="2:5">
      <c r="B7" s="259" t="s">
        <v>0</v>
      </c>
    </row>
    <row r="8" spans="2:5" ht="14.25">
      <c r="B8" s="1559" t="s">
        <v>699</v>
      </c>
      <c r="C8" s="1559"/>
      <c r="D8" s="1559"/>
      <c r="E8" s="1559"/>
    </row>
    <row r="9" spans="2:5" ht="15.75" customHeight="1" thickBot="1">
      <c r="B9" s="1583" t="s">
        <v>622</v>
      </c>
      <c r="C9" s="1583"/>
      <c r="D9" s="1583"/>
      <c r="E9" s="1583"/>
    </row>
    <row r="10" spans="2:5">
      <c r="B10" s="1584" t="s">
        <v>610</v>
      </c>
      <c r="C10" s="1433" t="str">
        <f>_ExerFin</f>
        <v xml:space="preserve"> 31/12/2025</v>
      </c>
      <c r="D10" s="1565" t="str">
        <f>_ExerFin1</f>
        <v xml:space="preserve"> 31/12/2024</v>
      </c>
      <c r="E10" s="816" t="s">
        <v>623</v>
      </c>
    </row>
    <row r="11" spans="2:5" ht="20.25" customHeight="1" thickBot="1">
      <c r="B11" s="1585"/>
      <c r="C11" s="1534"/>
      <c r="D11" s="1567"/>
      <c r="E11" s="817" t="s">
        <v>624</v>
      </c>
    </row>
    <row r="12" spans="2:5" ht="15" customHeight="1">
      <c r="B12" s="238" t="s">
        <v>625</v>
      </c>
      <c r="C12" s="924">
        <v>125136</v>
      </c>
      <c r="D12" s="924">
        <v>0</v>
      </c>
      <c r="E12" s="1012">
        <f>IF(D12=0,0,(C12-D12)/D12)*100</f>
        <v>0</v>
      </c>
    </row>
    <row r="13" spans="2:5" ht="15" customHeight="1">
      <c r="B13" s="224" t="s">
        <v>626</v>
      </c>
      <c r="C13" s="928">
        <v>0</v>
      </c>
      <c r="D13" s="928">
        <v>0</v>
      </c>
      <c r="E13" s="1012">
        <f t="shared" ref="E13:E28" si="0">IF(D13=0,0,(C13-D13)/D13)*100</f>
        <v>0</v>
      </c>
    </row>
    <row r="14" spans="2:5" ht="15" customHeight="1">
      <c r="B14" s="224" t="s">
        <v>627</v>
      </c>
      <c r="C14" s="928">
        <v>0</v>
      </c>
      <c r="D14" s="928">
        <v>0</v>
      </c>
      <c r="E14" s="1012">
        <f t="shared" si="0"/>
        <v>0</v>
      </c>
    </row>
    <row r="15" spans="2:5" ht="15" customHeight="1">
      <c r="B15" s="224" t="s">
        <v>628</v>
      </c>
      <c r="C15" s="928">
        <v>0</v>
      </c>
      <c r="D15" s="928">
        <v>0</v>
      </c>
      <c r="E15" s="1012">
        <f t="shared" si="0"/>
        <v>0</v>
      </c>
    </row>
    <row r="16" spans="2:5" ht="15" customHeight="1">
      <c r="B16" s="224" t="s">
        <v>629</v>
      </c>
      <c r="C16" s="928">
        <v>0</v>
      </c>
      <c r="D16" s="928">
        <v>0</v>
      </c>
      <c r="E16" s="1012">
        <f t="shared" si="0"/>
        <v>0</v>
      </c>
    </row>
    <row r="17" spans="2:6" ht="15" customHeight="1">
      <c r="B17" s="224" t="s">
        <v>630</v>
      </c>
      <c r="C17" s="928">
        <v>0</v>
      </c>
      <c r="D17" s="928">
        <v>0</v>
      </c>
      <c r="E17" s="1012">
        <f t="shared" si="0"/>
        <v>0</v>
      </c>
    </row>
    <row r="18" spans="2:6" ht="15" customHeight="1">
      <c r="B18" s="224" t="s">
        <v>631</v>
      </c>
      <c r="C18" s="928">
        <v>0</v>
      </c>
      <c r="D18" s="928">
        <v>0</v>
      </c>
      <c r="E18" s="1012">
        <f t="shared" si="0"/>
        <v>0</v>
      </c>
      <c r="F18" s="87" t="s">
        <v>0</v>
      </c>
    </row>
    <row r="19" spans="2:6" ht="15" customHeight="1">
      <c r="B19" s="247" t="s">
        <v>632</v>
      </c>
      <c r="C19" s="928">
        <v>0</v>
      </c>
      <c r="D19" s="928">
        <v>0</v>
      </c>
      <c r="E19" s="1012">
        <f t="shared" si="0"/>
        <v>0</v>
      </c>
    </row>
    <row r="20" spans="2:6" ht="15" customHeight="1">
      <c r="B20" s="224" t="s">
        <v>633</v>
      </c>
      <c r="C20" s="928">
        <v>0</v>
      </c>
      <c r="D20" s="928">
        <v>0</v>
      </c>
      <c r="E20" s="1012">
        <f t="shared" si="0"/>
        <v>0</v>
      </c>
    </row>
    <row r="21" spans="2:6" ht="15" customHeight="1">
      <c r="B21" s="224" t="s">
        <v>634</v>
      </c>
      <c r="C21" s="928">
        <v>0</v>
      </c>
      <c r="D21" s="928">
        <v>0</v>
      </c>
      <c r="E21" s="1012">
        <f t="shared" si="0"/>
        <v>0</v>
      </c>
    </row>
    <row r="22" spans="2:6" ht="15" customHeight="1">
      <c r="B22" s="224" t="s">
        <v>635</v>
      </c>
      <c r="C22" s="928">
        <v>0</v>
      </c>
      <c r="D22" s="928">
        <v>0</v>
      </c>
      <c r="E22" s="1012">
        <f t="shared" si="0"/>
        <v>0</v>
      </c>
    </row>
    <row r="23" spans="2:6" ht="15" customHeight="1" thickBot="1">
      <c r="B23" s="228" t="s">
        <v>636</v>
      </c>
      <c r="C23" s="932">
        <v>0</v>
      </c>
      <c r="D23" s="932">
        <v>0</v>
      </c>
      <c r="E23" s="1012">
        <f t="shared" si="0"/>
        <v>0</v>
      </c>
    </row>
    <row r="24" spans="2:6" ht="15" customHeight="1" thickBot="1">
      <c r="B24" s="234" t="s">
        <v>637</v>
      </c>
      <c r="C24" s="997">
        <f>SUM(C12:C23)</f>
        <v>125136</v>
      </c>
      <c r="D24" s="997">
        <f>SUM(D12:D23)</f>
        <v>0</v>
      </c>
      <c r="E24" s="920">
        <f t="shared" si="0"/>
        <v>0</v>
      </c>
    </row>
    <row r="25" spans="2:6" ht="15" customHeight="1">
      <c r="B25" s="228"/>
      <c r="C25" s="228"/>
      <c r="D25" s="228"/>
      <c r="E25" s="1012">
        <f t="shared" si="0"/>
        <v>0</v>
      </c>
    </row>
    <row r="26" spans="2:6" ht="15" customHeight="1">
      <c r="B26" s="354" t="s">
        <v>638</v>
      </c>
      <c r="C26" s="1066"/>
      <c r="D26" s="1066"/>
      <c r="E26" s="1012">
        <f t="shared" si="0"/>
        <v>0</v>
      </c>
    </row>
    <row r="27" spans="2:6" ht="15" customHeight="1" thickBot="1">
      <c r="B27" s="354" t="s">
        <v>7</v>
      </c>
      <c r="C27" s="1066"/>
      <c r="D27" s="1066"/>
      <c r="E27" s="1012">
        <f t="shared" si="0"/>
        <v>0</v>
      </c>
    </row>
    <row r="28" spans="2:6" ht="15" customHeight="1" thickBot="1">
      <c r="B28" s="275" t="s">
        <v>1673</v>
      </c>
      <c r="C28" s="920"/>
      <c r="D28" s="920"/>
      <c r="E28" s="920">
        <f t="shared" si="0"/>
        <v>0</v>
      </c>
    </row>
    <row r="29" spans="2:6">
      <c r="B29" s="167" t="s">
        <v>617</v>
      </c>
    </row>
    <row r="30" spans="2:6">
      <c r="B30" s="168" t="s">
        <v>696</v>
      </c>
      <c r="C30" s="87">
        <v>0</v>
      </c>
      <c r="D30" s="87">
        <v>0</v>
      </c>
    </row>
    <row r="31" spans="2:6">
      <c r="B31" s="168" t="s">
        <v>697</v>
      </c>
    </row>
    <row r="32" spans="2:6">
      <c r="B32" s="168" t="s">
        <v>600</v>
      </c>
    </row>
    <row r="33" spans="2:5">
      <c r="B33" s="168" t="s">
        <v>698</v>
      </c>
    </row>
    <row r="34" spans="2:5">
      <c r="B34" s="168" t="s">
        <v>619</v>
      </c>
    </row>
    <row r="35" spans="2:5" ht="26.25" customHeight="1">
      <c r="B35" s="1582" t="s">
        <v>1413</v>
      </c>
      <c r="C35" s="1582"/>
      <c r="D35" s="1582"/>
      <c r="E35" s="1582"/>
    </row>
    <row r="36" spans="2:5">
      <c r="B36" s="259" t="s">
        <v>0</v>
      </c>
    </row>
    <row r="37" spans="2:5">
      <c r="B37" s="259" t="s">
        <v>0</v>
      </c>
    </row>
    <row r="38" spans="2:5">
      <c r="B38" s="259"/>
    </row>
  </sheetData>
  <mergeCells count="8">
    <mergeCell ref="B35:E35"/>
    <mergeCell ref="B9:E9"/>
    <mergeCell ref="C5:E5"/>
    <mergeCell ref="C6:E6"/>
    <mergeCell ref="D10:D11"/>
    <mergeCell ref="B10:B11"/>
    <mergeCell ref="C10:C11"/>
    <mergeCell ref="B8:E8"/>
  </mergeCells>
  <pageMargins left="0.11811023622047245" right="0.11811023622047245" top="0.15748031496062992" bottom="0.15748031496062992" header="0.31496062992125984" footer="0.31496062992125984"/>
  <pageSetup paperSize="9" scale="9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topLeftCell="A16" workbookViewId="0">
      <selection activeCell="D27" sqref="D27"/>
    </sheetView>
  </sheetViews>
  <sheetFormatPr baseColWidth="10" defaultRowHeight="12"/>
  <cols>
    <col min="1" max="1" width="38.42578125" style="87" customWidth="1"/>
    <col min="2" max="2" width="9.85546875" style="87" customWidth="1"/>
    <col min="3" max="3" width="15.7109375" style="87" customWidth="1"/>
    <col min="4" max="4" width="16.85546875" style="87" customWidth="1"/>
    <col min="5" max="5" width="9.140625" style="87" customWidth="1"/>
    <col min="6" max="16384" width="11.42578125" style="87"/>
  </cols>
  <sheetData>
    <row r="1" spans="1:6">
      <c r="A1" s="259"/>
    </row>
    <row r="2" spans="1:6">
      <c r="A2" s="259"/>
    </row>
    <row r="3" spans="1:6">
      <c r="A3" s="259"/>
    </row>
    <row r="4" spans="1:6" s="10" customFormat="1" ht="14.25">
      <c r="A4" s="4" t="str">
        <f>_soNom</f>
        <v>Cecotra</v>
      </c>
      <c r="D4" s="1342" t="str">
        <f>_ExerClos</f>
        <v>Exercice clos le 31/12/2025</v>
      </c>
      <c r="E4" s="1342"/>
      <c r="F4" s="1342"/>
    </row>
    <row r="5" spans="1:6" s="10" customFormat="1" ht="15" customHeight="1">
      <c r="A5" s="6" t="str">
        <f>_soId</f>
        <v> 3201810353457</v>
      </c>
      <c r="D5" s="1341" t="str">
        <f>_Duree</f>
        <v>Durée (en mois) 12</v>
      </c>
      <c r="E5" s="1341"/>
      <c r="F5" s="1341"/>
    </row>
    <row r="7" spans="1:6">
      <c r="A7" s="1571" t="s">
        <v>700</v>
      </c>
      <c r="B7" s="1571"/>
      <c r="C7" s="1571"/>
      <c r="D7" s="1571"/>
      <c r="E7" s="1571"/>
      <c r="F7" s="1571"/>
    </row>
    <row r="8" spans="1:6" ht="12.75" thickBot="1">
      <c r="A8" s="1589" t="s">
        <v>639</v>
      </c>
      <c r="B8" s="1589"/>
      <c r="C8" s="1589"/>
      <c r="D8" s="1589"/>
      <c r="E8" s="1589"/>
      <c r="F8" s="1589"/>
    </row>
    <row r="9" spans="1:6" ht="15" customHeight="1">
      <c r="A9" s="1435" t="s">
        <v>416</v>
      </c>
      <c r="B9" s="1440" t="s">
        <v>640</v>
      </c>
      <c r="C9" s="1440" t="s">
        <v>641</v>
      </c>
      <c r="D9" s="182" t="s">
        <v>642</v>
      </c>
      <c r="E9" s="182" t="s">
        <v>642</v>
      </c>
      <c r="F9" s="1560" t="s">
        <v>645</v>
      </c>
    </row>
    <row r="10" spans="1:6" ht="15" customHeight="1">
      <c r="A10" s="1436"/>
      <c r="B10" s="1441"/>
      <c r="C10" s="1441"/>
      <c r="D10" s="183" t="s">
        <v>643</v>
      </c>
      <c r="E10" s="183" t="s">
        <v>643</v>
      </c>
      <c r="F10" s="1561"/>
    </row>
    <row r="11" spans="1:6" ht="15" customHeight="1" thickBot="1">
      <c r="A11" s="1591"/>
      <c r="B11" s="1592"/>
      <c r="C11" s="1592"/>
      <c r="D11" s="126" t="s">
        <v>644</v>
      </c>
      <c r="E11" s="280">
        <v>43100</v>
      </c>
      <c r="F11" s="1562"/>
    </row>
    <row r="12" spans="1:6" ht="15" customHeight="1">
      <c r="A12" s="99" t="s">
        <v>646</v>
      </c>
      <c r="B12" s="1587" t="s">
        <v>7</v>
      </c>
      <c r="C12" s="1587"/>
      <c r="D12" s="1587"/>
      <c r="E12" s="1587"/>
      <c r="F12" s="1586"/>
    </row>
    <row r="13" spans="1:6" ht="15" customHeight="1">
      <c r="A13" s="278" t="s">
        <v>701</v>
      </c>
      <c r="B13" s="1588"/>
      <c r="C13" s="1588"/>
      <c r="D13" s="1588"/>
      <c r="E13" s="1588"/>
      <c r="F13" s="1424"/>
    </row>
    <row r="14" spans="1:6" ht="15" customHeight="1">
      <c r="A14" s="278" t="s">
        <v>7</v>
      </c>
      <c r="B14" s="279" t="s">
        <v>7</v>
      </c>
      <c r="C14" s="92"/>
      <c r="D14" s="92"/>
      <c r="E14" s="92"/>
      <c r="F14" s="179"/>
    </row>
    <row r="15" spans="1:6" ht="15" customHeight="1">
      <c r="A15" s="178" t="s">
        <v>7</v>
      </c>
      <c r="B15" s="92" t="s">
        <v>7</v>
      </c>
      <c r="C15" s="92"/>
      <c r="D15" s="92"/>
      <c r="E15" s="92"/>
      <c r="F15" s="179"/>
    </row>
    <row r="16" spans="1:6" ht="24">
      <c r="A16" s="178" t="s">
        <v>702</v>
      </c>
      <c r="B16" s="92" t="s">
        <v>7</v>
      </c>
      <c r="C16" s="92"/>
      <c r="D16" s="92"/>
      <c r="E16" s="92"/>
      <c r="F16" s="179"/>
    </row>
    <row r="17" spans="1:6" ht="15" customHeight="1">
      <c r="A17" s="178" t="s">
        <v>7</v>
      </c>
      <c r="B17" s="92" t="s">
        <v>7</v>
      </c>
      <c r="C17" s="92"/>
      <c r="D17" s="92"/>
      <c r="E17" s="92"/>
      <c r="F17" s="179"/>
    </row>
    <row r="18" spans="1:6" ht="15" customHeight="1">
      <c r="A18" s="178" t="s">
        <v>7</v>
      </c>
      <c r="B18" s="92" t="s">
        <v>7</v>
      </c>
      <c r="C18" s="92"/>
      <c r="D18" s="92"/>
      <c r="E18" s="92"/>
      <c r="F18" s="179"/>
    </row>
    <row r="19" spans="1:6" ht="15" customHeight="1">
      <c r="A19" s="178" t="s">
        <v>7</v>
      </c>
      <c r="B19" s="92" t="s">
        <v>7</v>
      </c>
      <c r="C19" s="92"/>
      <c r="D19" s="92"/>
      <c r="E19" s="92"/>
      <c r="F19" s="179"/>
    </row>
    <row r="20" spans="1:6" ht="15" customHeight="1" thickBot="1">
      <c r="A20" s="180" t="s">
        <v>7</v>
      </c>
      <c r="B20" s="93" t="s">
        <v>7</v>
      </c>
      <c r="C20" s="93"/>
      <c r="D20" s="93"/>
      <c r="E20" s="93"/>
      <c r="F20" s="181"/>
    </row>
    <row r="21" spans="1:6" ht="15" customHeight="1">
      <c r="A21" s="217" t="s">
        <v>703</v>
      </c>
    </row>
    <row r="22" spans="1:6" ht="15" customHeight="1">
      <c r="A22" s="172" t="s">
        <v>704</v>
      </c>
    </row>
    <row r="23" spans="1:6" ht="15" customHeight="1" thickBot="1">
      <c r="A23" s="1590" t="s">
        <v>705</v>
      </c>
      <c r="B23" s="1590"/>
      <c r="C23" s="1590"/>
      <c r="D23" s="1590"/>
      <c r="E23" s="1590"/>
      <c r="F23" s="1590"/>
    </row>
    <row r="24" spans="1:6" ht="15" customHeight="1" thickBot="1">
      <c r="A24" s="264" t="s">
        <v>416</v>
      </c>
      <c r="B24" s="265" t="str">
        <f>_ExerFin</f>
        <v xml:space="preserve"> 31/12/2025</v>
      </c>
      <c r="C24" s="265" t="str">
        <f>_ExerFin1</f>
        <v xml:space="preserve"> 31/12/2024</v>
      </c>
      <c r="D24" s="266" t="s">
        <v>417</v>
      </c>
    </row>
    <row r="25" spans="1:6" ht="15" customHeight="1">
      <c r="A25" s="99" t="s">
        <v>647</v>
      </c>
      <c r="B25" s="1587" t="s">
        <v>7</v>
      </c>
      <c r="C25" s="1587" t="s">
        <v>7</v>
      </c>
      <c r="D25" s="1586" t="s">
        <v>7</v>
      </c>
    </row>
    <row r="26" spans="1:6" ht="15" customHeight="1">
      <c r="A26" s="278" t="s">
        <v>706</v>
      </c>
      <c r="B26" s="1588"/>
      <c r="C26" s="1588"/>
      <c r="D26" s="1424"/>
    </row>
    <row r="27" spans="1:6" ht="15" customHeight="1">
      <c r="A27" s="278" t="s">
        <v>7</v>
      </c>
      <c r="B27" s="279" t="s">
        <v>7</v>
      </c>
      <c r="C27" s="92" t="s">
        <v>7</v>
      </c>
      <c r="D27" s="179" t="s">
        <v>7</v>
      </c>
    </row>
    <row r="28" spans="1:6" ht="15" customHeight="1">
      <c r="A28" s="178" t="s">
        <v>7</v>
      </c>
      <c r="B28" s="92" t="s">
        <v>7</v>
      </c>
      <c r="C28" s="92" t="s">
        <v>7</v>
      </c>
      <c r="D28" s="179" t="s">
        <v>7</v>
      </c>
    </row>
    <row r="29" spans="1:6" ht="24">
      <c r="A29" s="178" t="s">
        <v>707</v>
      </c>
      <c r="B29" s="92" t="s">
        <v>7</v>
      </c>
      <c r="C29" s="92" t="s">
        <v>7</v>
      </c>
      <c r="D29" s="179" t="s">
        <v>7</v>
      </c>
    </row>
    <row r="30" spans="1:6" ht="15" customHeight="1">
      <c r="A30" s="178" t="s">
        <v>7</v>
      </c>
      <c r="B30" s="92" t="s">
        <v>7</v>
      </c>
      <c r="C30" s="92" t="s">
        <v>7</v>
      </c>
      <c r="D30" s="179" t="s">
        <v>7</v>
      </c>
    </row>
    <row r="31" spans="1:6" ht="15" customHeight="1">
      <c r="A31" s="178" t="s">
        <v>7</v>
      </c>
      <c r="B31" s="92" t="s">
        <v>7</v>
      </c>
      <c r="C31" s="92" t="s">
        <v>7</v>
      </c>
      <c r="D31" s="179" t="s">
        <v>7</v>
      </c>
    </row>
    <row r="32" spans="1:6" ht="15" customHeight="1">
      <c r="A32" s="178" t="s">
        <v>7</v>
      </c>
      <c r="B32" s="92" t="s">
        <v>7</v>
      </c>
      <c r="C32" s="92" t="s">
        <v>7</v>
      </c>
      <c r="D32" s="179" t="s">
        <v>7</v>
      </c>
    </row>
    <row r="33" spans="1:4" ht="15" customHeight="1" thickBot="1">
      <c r="A33" s="180" t="s">
        <v>7</v>
      </c>
      <c r="B33" s="93" t="s">
        <v>7</v>
      </c>
      <c r="C33" s="93" t="s">
        <v>7</v>
      </c>
      <c r="D33" s="181" t="s">
        <v>7</v>
      </c>
    </row>
    <row r="34" spans="1:4">
      <c r="A34" s="217" t="s">
        <v>0</v>
      </c>
    </row>
    <row r="35" spans="1:4">
      <c r="A35" s="167" t="s">
        <v>708</v>
      </c>
    </row>
    <row r="36" spans="1:4">
      <c r="A36" s="168" t="s">
        <v>709</v>
      </c>
    </row>
    <row r="37" spans="1:4">
      <c r="A37" s="249"/>
    </row>
    <row r="38" spans="1:4">
      <c r="A38" s="249"/>
    </row>
    <row r="39" spans="1:4">
      <c r="A39" s="259" t="s">
        <v>0</v>
      </c>
    </row>
  </sheetData>
  <mergeCells count="17">
    <mergeCell ref="E12:E13"/>
    <mergeCell ref="F12:F13"/>
    <mergeCell ref="D4:F4"/>
    <mergeCell ref="D5:F5"/>
    <mergeCell ref="B25:B26"/>
    <mergeCell ref="C25:C26"/>
    <mergeCell ref="D25:D26"/>
    <mergeCell ref="A7:F7"/>
    <mergeCell ref="A8:F8"/>
    <mergeCell ref="A23:F23"/>
    <mergeCell ref="A9:A11"/>
    <mergeCell ref="B9:B11"/>
    <mergeCell ref="C9:C11"/>
    <mergeCell ref="F9:F11"/>
    <mergeCell ref="B12:B13"/>
    <mergeCell ref="C12:C13"/>
    <mergeCell ref="D12:D13"/>
  </mergeCells>
  <pageMargins left="0.70866141732283472" right="0.3" top="0.74803149606299213" bottom="0.74803149606299213" header="0.31496062992125984" footer="0.31496062992125984"/>
  <pageSetup paperSize="9" scale="9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H34"/>
  <sheetViews>
    <sheetView showZeros="0" topLeftCell="A10" workbookViewId="0">
      <selection activeCell="A10" sqref="A10"/>
    </sheetView>
  </sheetViews>
  <sheetFormatPr baseColWidth="10" defaultRowHeight="12"/>
  <cols>
    <col min="1" max="1" width="3.7109375" style="87" customWidth="1"/>
    <col min="2" max="2" width="29" style="87" customWidth="1"/>
    <col min="3" max="3" width="11.42578125" style="87"/>
    <col min="4" max="4" width="14.7109375" style="87" customWidth="1"/>
    <col min="5" max="5" width="10.140625" style="87" customWidth="1"/>
    <col min="6" max="7" width="15.7109375" style="87" customWidth="1"/>
    <col min="8" max="16384" width="11.42578125" style="87"/>
  </cols>
  <sheetData>
    <row r="5" spans="2:7" s="10" customFormat="1" ht="14.25">
      <c r="B5" s="4" t="str">
        <f>_soNom</f>
        <v>Cecotra</v>
      </c>
      <c r="E5" s="1342" t="str">
        <f>_ExerClos</f>
        <v>Exercice clos le 31/12/2025</v>
      </c>
      <c r="F5" s="1342"/>
      <c r="G5" s="1342"/>
    </row>
    <row r="6" spans="2:7" s="10" customFormat="1" ht="15" customHeight="1">
      <c r="B6" s="6" t="str">
        <f>_soId</f>
        <v> 3201810353457</v>
      </c>
      <c r="E6" s="1341" t="str">
        <f>_Duree</f>
        <v>Durée (en mois) 12</v>
      </c>
      <c r="F6" s="1341"/>
      <c r="G6" s="1341"/>
    </row>
    <row r="7" spans="2:7" ht="9.75" customHeight="1">
      <c r="B7" s="205"/>
    </row>
    <row r="8" spans="2:7" ht="14.25">
      <c r="B8" s="1595" t="s">
        <v>710</v>
      </c>
      <c r="C8" s="1595"/>
      <c r="D8" s="1595"/>
      <c r="E8" s="1595"/>
      <c r="F8" s="1595"/>
      <c r="G8" s="1595"/>
    </row>
    <row r="9" spans="2:7" ht="15.75" customHeight="1" thickBot="1">
      <c r="B9" s="1596" t="s">
        <v>711</v>
      </c>
      <c r="C9" s="1596"/>
      <c r="D9" s="1596"/>
      <c r="E9" s="1596"/>
      <c r="F9" s="1596"/>
      <c r="G9" s="1596"/>
    </row>
    <row r="10" spans="2:7">
      <c r="B10" s="1597"/>
      <c r="C10" s="1597"/>
      <c r="D10" s="1597" t="s">
        <v>712</v>
      </c>
      <c r="E10" s="1597"/>
      <c r="F10" s="1598"/>
      <c r="G10" s="1600"/>
    </row>
    <row r="11" spans="2:7" ht="12.75" thickBot="1">
      <c r="D11" s="1599"/>
      <c r="E11" s="1599"/>
      <c r="F11" s="1598"/>
      <c r="G11" s="1601"/>
    </row>
    <row r="12" spans="2:7" ht="35.25" customHeight="1">
      <c r="B12" s="1602" t="s">
        <v>713</v>
      </c>
      <c r="C12" s="1605" t="s">
        <v>714</v>
      </c>
      <c r="D12" s="1605" t="s">
        <v>1419</v>
      </c>
      <c r="E12" s="1605" t="s">
        <v>715</v>
      </c>
      <c r="F12" s="1605" t="s">
        <v>716</v>
      </c>
      <c r="G12" s="871" t="s">
        <v>1669</v>
      </c>
    </row>
    <row r="13" spans="2:7" ht="16.5" customHeight="1">
      <c r="B13" s="1603"/>
      <c r="C13" s="1606"/>
      <c r="D13" s="1606"/>
      <c r="E13" s="1606"/>
      <c r="F13" s="1606"/>
      <c r="G13" s="281" t="s">
        <v>717</v>
      </c>
    </row>
    <row r="14" spans="2:7" ht="23.25" customHeight="1" thickBot="1">
      <c r="B14" s="1604"/>
      <c r="C14" s="1607"/>
      <c r="D14" s="1607"/>
      <c r="E14" s="1607"/>
      <c r="F14" s="1607"/>
      <c r="G14" s="282" t="s">
        <v>718</v>
      </c>
    </row>
    <row r="15" spans="2:7">
      <c r="B15" s="287"/>
      <c r="C15" s="288"/>
      <c r="D15" s="288"/>
      <c r="E15" s="1013"/>
      <c r="F15" s="1014"/>
      <c r="G15" s="1015">
        <v>0</v>
      </c>
    </row>
    <row r="16" spans="2:7">
      <c r="B16" s="285"/>
      <c r="C16" s="284"/>
      <c r="D16" s="284"/>
      <c r="E16" s="1016"/>
      <c r="F16" s="1017"/>
      <c r="G16" s="1018"/>
    </row>
    <row r="17" spans="2:8">
      <c r="B17" s="285"/>
      <c r="C17" s="284"/>
      <c r="D17" s="284"/>
      <c r="E17" s="1016"/>
      <c r="F17" s="1017"/>
      <c r="G17" s="1018"/>
    </row>
    <row r="18" spans="2:8">
      <c r="B18" s="285"/>
      <c r="C18" s="284"/>
      <c r="D18" s="284"/>
      <c r="E18" s="1016"/>
      <c r="F18" s="1017"/>
      <c r="G18" s="1018"/>
    </row>
    <row r="19" spans="2:8">
      <c r="B19" s="285"/>
      <c r="C19" s="284"/>
      <c r="D19" s="284"/>
      <c r="E19" s="1016"/>
      <c r="F19" s="1017"/>
      <c r="G19" s="1018"/>
    </row>
    <row r="20" spans="2:8">
      <c r="B20" s="285"/>
      <c r="C20" s="284"/>
      <c r="D20" s="284"/>
      <c r="E20" s="1016"/>
      <c r="F20" s="1017"/>
      <c r="G20" s="1018"/>
    </row>
    <row r="21" spans="2:8">
      <c r="B21" s="285"/>
      <c r="C21" s="284"/>
      <c r="D21" s="284"/>
      <c r="E21" s="1016"/>
      <c r="F21" s="1017"/>
      <c r="G21" s="1018"/>
    </row>
    <row r="22" spans="2:8">
      <c r="B22" s="285"/>
      <c r="C22" s="284"/>
      <c r="D22" s="284"/>
      <c r="E22" s="1016"/>
      <c r="F22" s="1017"/>
      <c r="G22" s="1018"/>
    </row>
    <row r="23" spans="2:8" ht="12.75" thickBot="1">
      <c r="B23" s="290" t="s">
        <v>719</v>
      </c>
      <c r="C23" s="290"/>
      <c r="D23" s="290"/>
      <c r="E23" s="1019"/>
      <c r="F23" s="1019"/>
      <c r="G23" s="1020"/>
    </row>
    <row r="24" spans="2:8" ht="12.75" thickBot="1">
      <c r="B24" s="1593" t="s">
        <v>720</v>
      </c>
      <c r="C24" s="1594"/>
      <c r="D24" s="1594"/>
      <c r="E24" s="1021"/>
      <c r="F24" s="1022">
        <f t="shared" ref="F24:G24" si="0">SUM(F15:F22)</f>
        <v>0</v>
      </c>
      <c r="G24" s="1022">
        <f t="shared" si="0"/>
        <v>0</v>
      </c>
    </row>
    <row r="25" spans="2:8">
      <c r="B25" s="205"/>
    </row>
    <row r="26" spans="2:8">
      <c r="B26" s="206" t="s">
        <v>590</v>
      </c>
    </row>
    <row r="27" spans="2:8">
      <c r="B27" s="283"/>
    </row>
    <row r="28" spans="2:8">
      <c r="B28" s="528" t="s">
        <v>1414</v>
      </c>
      <c r="C28" s="529"/>
      <c r="D28" s="529"/>
      <c r="E28" s="529"/>
      <c r="F28" s="529"/>
      <c r="G28" s="529"/>
      <c r="H28" s="529"/>
    </row>
    <row r="29" spans="2:8">
      <c r="B29" s="528" t="s">
        <v>1415</v>
      </c>
      <c r="C29" s="529"/>
      <c r="D29" s="529"/>
      <c r="E29" s="529"/>
      <c r="F29" s="529"/>
      <c r="G29" s="529"/>
      <c r="H29" s="529"/>
    </row>
    <row r="30" spans="2:8">
      <c r="B30" s="528" t="s">
        <v>1416</v>
      </c>
      <c r="C30" s="529"/>
      <c r="D30" s="529"/>
      <c r="E30" s="529"/>
      <c r="F30" s="529"/>
      <c r="G30" s="529"/>
      <c r="H30" s="529"/>
    </row>
    <row r="31" spans="2:8">
      <c r="B31" s="528" t="s">
        <v>1417</v>
      </c>
      <c r="C31" s="529"/>
      <c r="D31" s="529"/>
      <c r="E31" s="529"/>
      <c r="F31" s="529"/>
      <c r="G31" s="529"/>
      <c r="H31" s="529"/>
    </row>
    <row r="32" spans="2:8">
      <c r="B32" s="528" t="s">
        <v>1418</v>
      </c>
      <c r="C32" s="529"/>
      <c r="D32" s="529"/>
      <c r="E32" s="529"/>
      <c r="F32" s="529"/>
      <c r="G32" s="529"/>
      <c r="H32" s="529"/>
    </row>
    <row r="34" spans="2:2">
      <c r="B34" s="205"/>
    </row>
  </sheetData>
  <mergeCells count="13">
    <mergeCell ref="E5:G5"/>
    <mergeCell ref="E6:G6"/>
    <mergeCell ref="B24:D24"/>
    <mergeCell ref="B8:G8"/>
    <mergeCell ref="B9:G9"/>
    <mergeCell ref="B10:C10"/>
    <mergeCell ref="D10:F11"/>
    <mergeCell ref="G10:G11"/>
    <mergeCell ref="B12:B14"/>
    <mergeCell ref="C12:C14"/>
    <mergeCell ref="E12:E14"/>
    <mergeCell ref="F12:F14"/>
    <mergeCell ref="D12:D14"/>
  </mergeCells>
  <pageMargins left="0.11811023622047245" right="0.11811023622047245" top="0.15748031496062992" bottom="0.15748031496062992" header="0.31496062992125984" footer="0.31496062992125984"/>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34"/>
  <sheetViews>
    <sheetView showZeros="0" workbookViewId="0">
      <selection activeCell="E10" sqref="E10"/>
    </sheetView>
  </sheetViews>
  <sheetFormatPr baseColWidth="10" defaultRowHeight="12"/>
  <cols>
    <col min="1" max="1" width="2.140625" style="10" customWidth="1"/>
    <col min="2" max="2" width="61.7109375" style="10" customWidth="1"/>
    <col min="3" max="3" width="15.28515625" style="10" customWidth="1"/>
    <col min="4" max="4" width="13.85546875" style="10" customWidth="1"/>
    <col min="5" max="5" width="16.28515625" style="887" customWidth="1"/>
    <col min="6" max="16384" width="11.42578125" style="10"/>
  </cols>
  <sheetData>
    <row r="4" spans="2:7" ht="14.25">
      <c r="B4" s="4" t="str">
        <f>_soNom</f>
        <v>Cecotra</v>
      </c>
      <c r="C4" s="1342" t="str">
        <f>_ExerClos</f>
        <v>Exercice clos le 31/12/2025</v>
      </c>
      <c r="D4" s="1342"/>
      <c r="E4" s="1342"/>
    </row>
    <row r="5" spans="2:7" ht="15" customHeight="1">
      <c r="B5" s="6" t="str">
        <f>_Duree</f>
        <v>Durée (en mois) 12</v>
      </c>
      <c r="C5" s="1341" t="str">
        <f>_Duree</f>
        <v>Durée (en mois) 12</v>
      </c>
      <c r="D5" s="1341"/>
      <c r="E5" s="1341"/>
    </row>
    <row r="7" spans="2:7" ht="15">
      <c r="B7" s="1470" t="s">
        <v>726</v>
      </c>
      <c r="C7" s="1470"/>
      <c r="D7" s="1470"/>
      <c r="E7" s="1470"/>
      <c r="F7" s="297"/>
      <c r="G7" s="297"/>
    </row>
    <row r="8" spans="2:7" ht="15.75" thickBot="1">
      <c r="B8" s="1461" t="s">
        <v>648</v>
      </c>
      <c r="C8" s="1461"/>
      <c r="D8" s="1461"/>
      <c r="E8" s="1461"/>
      <c r="F8" s="296"/>
      <c r="G8" s="296"/>
    </row>
    <row r="9" spans="2:7" ht="24.75" thickBot="1">
      <c r="B9" s="292" t="s">
        <v>721</v>
      </c>
      <c r="C9" s="811" t="str">
        <f>_ExerFin</f>
        <v xml:space="preserve"> 31/12/2025</v>
      </c>
      <c r="D9" s="811" t="str">
        <f>_ExerFin1</f>
        <v xml:space="preserve"> 31/12/2024</v>
      </c>
      <c r="E9" s="886" t="s">
        <v>645</v>
      </c>
    </row>
    <row r="10" spans="2:7" ht="15" customHeight="1">
      <c r="B10" s="238" t="s">
        <v>650</v>
      </c>
      <c r="C10" s="924">
        <v>0</v>
      </c>
      <c r="D10" s="924">
        <v>0</v>
      </c>
      <c r="E10" s="1012">
        <f>(C10-D10)</f>
        <v>0</v>
      </c>
    </row>
    <row r="11" spans="2:7" ht="15" customHeight="1">
      <c r="B11" s="224" t="s">
        <v>651</v>
      </c>
      <c r="C11" s="928">
        <v>0</v>
      </c>
      <c r="D11" s="928">
        <v>0</v>
      </c>
      <c r="E11" s="1012">
        <f t="shared" ref="E11:E26" si="0">(C11-D11)</f>
        <v>0</v>
      </c>
    </row>
    <row r="12" spans="2:7" ht="15" customHeight="1">
      <c r="B12" s="224" t="s">
        <v>652</v>
      </c>
      <c r="C12" s="928">
        <v>0</v>
      </c>
      <c r="D12" s="928">
        <v>0</v>
      </c>
      <c r="E12" s="1012">
        <f t="shared" si="0"/>
        <v>0</v>
      </c>
    </row>
    <row r="13" spans="2:7" ht="15" customHeight="1">
      <c r="B13" s="224" t="s">
        <v>653</v>
      </c>
      <c r="C13" s="928">
        <v>0</v>
      </c>
      <c r="D13" s="928">
        <v>0</v>
      </c>
      <c r="E13" s="1012">
        <f t="shared" si="0"/>
        <v>0</v>
      </c>
    </row>
    <row r="14" spans="2:7" ht="15" customHeight="1">
      <c r="B14" s="224" t="s">
        <v>654</v>
      </c>
      <c r="C14" s="928">
        <v>0</v>
      </c>
      <c r="D14" s="928">
        <v>0</v>
      </c>
      <c r="E14" s="1012">
        <f t="shared" si="0"/>
        <v>0</v>
      </c>
    </row>
    <row r="15" spans="2:7" ht="15" customHeight="1">
      <c r="B15" s="226" t="s">
        <v>655</v>
      </c>
      <c r="C15" s="1023">
        <f>SUM(C10:C14)</f>
        <v>0</v>
      </c>
      <c r="D15" s="1023">
        <f>SUM(D10:D14)</f>
        <v>0</v>
      </c>
      <c r="E15" s="1023">
        <f t="shared" si="0"/>
        <v>0</v>
      </c>
    </row>
    <row r="16" spans="2:7" ht="15" customHeight="1">
      <c r="B16" s="224" t="s">
        <v>0</v>
      </c>
      <c r="C16" s="928"/>
      <c r="D16" s="928"/>
      <c r="E16" s="1012">
        <f t="shared" si="0"/>
        <v>0</v>
      </c>
    </row>
    <row r="17" spans="2:5" ht="15" customHeight="1">
      <c r="B17" s="224" t="s">
        <v>656</v>
      </c>
      <c r="C17" s="928">
        <v>0</v>
      </c>
      <c r="D17" s="928">
        <v>0</v>
      </c>
      <c r="E17" s="1012">
        <f t="shared" si="0"/>
        <v>0</v>
      </c>
    </row>
    <row r="18" spans="2:5" ht="15" customHeight="1">
      <c r="B18" s="224" t="s">
        <v>657</v>
      </c>
      <c r="C18" s="928">
        <v>0</v>
      </c>
      <c r="D18" s="928">
        <v>0</v>
      </c>
      <c r="E18" s="1012">
        <f t="shared" si="0"/>
        <v>0</v>
      </c>
    </row>
    <row r="19" spans="2:5" ht="15" customHeight="1">
      <c r="B19" s="224" t="s">
        <v>658</v>
      </c>
      <c r="C19" s="928">
        <v>0</v>
      </c>
      <c r="D19" s="928">
        <v>0</v>
      </c>
      <c r="E19" s="1012">
        <f t="shared" si="0"/>
        <v>0</v>
      </c>
    </row>
    <row r="20" spans="2:5" ht="15" customHeight="1">
      <c r="B20" s="224" t="s">
        <v>659</v>
      </c>
      <c r="C20" s="928">
        <v>0</v>
      </c>
      <c r="D20" s="928">
        <v>0</v>
      </c>
      <c r="E20" s="1012">
        <f t="shared" si="0"/>
        <v>0</v>
      </c>
    </row>
    <row r="21" spans="2:5" ht="15" customHeight="1">
      <c r="B21" s="224" t="s">
        <v>660</v>
      </c>
      <c r="C21" s="928">
        <v>0</v>
      </c>
      <c r="D21" s="928">
        <v>0</v>
      </c>
      <c r="E21" s="1012">
        <f t="shared" si="0"/>
        <v>0</v>
      </c>
    </row>
    <row r="22" spans="2:5" ht="15" customHeight="1">
      <c r="B22" s="226" t="s">
        <v>661</v>
      </c>
      <c r="C22" s="937">
        <f>SUM(C17:C21)</f>
        <v>0</v>
      </c>
      <c r="D22" s="937">
        <f>SUM(D17:D21)</f>
        <v>0</v>
      </c>
      <c r="E22" s="937">
        <f t="shared" si="0"/>
        <v>0</v>
      </c>
    </row>
    <row r="23" spans="2:5" ht="15" customHeight="1">
      <c r="B23" s="224" t="s">
        <v>0</v>
      </c>
      <c r="C23" s="928"/>
      <c r="D23" s="928"/>
      <c r="E23" s="1012">
        <f t="shared" si="0"/>
        <v>0</v>
      </c>
    </row>
    <row r="24" spans="2:5" ht="15" customHeight="1">
      <c r="B24" s="227" t="s">
        <v>82</v>
      </c>
      <c r="C24" s="928">
        <v>0</v>
      </c>
      <c r="D24" s="928">
        <v>0</v>
      </c>
      <c r="E24" s="1012">
        <f t="shared" si="0"/>
        <v>0</v>
      </c>
    </row>
    <row r="25" spans="2:5" ht="15" customHeight="1">
      <c r="B25" s="224" t="s">
        <v>0</v>
      </c>
      <c r="C25" s="928"/>
      <c r="D25" s="928"/>
      <c r="E25" s="1012">
        <f t="shared" si="0"/>
        <v>0</v>
      </c>
    </row>
    <row r="26" spans="2:5" ht="15" customHeight="1" thickBot="1">
      <c r="B26" s="293" t="s">
        <v>662</v>
      </c>
      <c r="C26" s="1025">
        <v>29907501</v>
      </c>
      <c r="D26" s="1025">
        <v>0</v>
      </c>
      <c r="E26" s="1156">
        <f t="shared" si="0"/>
        <v>29907501</v>
      </c>
    </row>
    <row r="27" spans="2:5">
      <c r="B27" s="167" t="s">
        <v>612</v>
      </c>
    </row>
    <row r="28" spans="2:5">
      <c r="B28" s="168" t="s">
        <v>722</v>
      </c>
    </row>
    <row r="29" spans="2:5">
      <c r="B29" s="168" t="s">
        <v>723</v>
      </c>
    </row>
    <row r="30" spans="2:5">
      <c r="B30" s="168" t="s">
        <v>724</v>
      </c>
    </row>
    <row r="31" spans="2:5">
      <c r="B31" s="168" t="s">
        <v>725</v>
      </c>
    </row>
    <row r="32" spans="2:5">
      <c r="B32" s="217" t="s">
        <v>0</v>
      </c>
    </row>
    <row r="33" spans="2:2">
      <c r="B33" s="217" t="s">
        <v>0</v>
      </c>
    </row>
    <row r="34" spans="2:2">
      <c r="B34" s="217"/>
    </row>
  </sheetData>
  <mergeCells count="4">
    <mergeCell ref="B8:E8"/>
    <mergeCell ref="B7:E7"/>
    <mergeCell ref="C4:E4"/>
    <mergeCell ref="C5:E5"/>
  </mergeCells>
  <pageMargins left="0.11811023622047245" right="0.11811023622047245" top="0.15748031496062992" bottom="0.15748031496062992" header="0.31496062992125984" footer="0.31496062992125984"/>
  <pageSetup paperSize="9" scale="90"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showZeros="0" topLeftCell="A25" workbookViewId="0">
      <selection activeCell="H36" sqref="A1:H36"/>
    </sheetView>
  </sheetViews>
  <sheetFormatPr baseColWidth="10" defaultRowHeight="15"/>
  <cols>
    <col min="1" max="1" width="46.7109375" customWidth="1"/>
    <col min="2" max="2" width="8.28515625" customWidth="1"/>
    <col min="3" max="4" width="15.7109375" customWidth="1"/>
    <col min="5" max="5" width="15.7109375" style="872" customWidth="1"/>
    <col min="6" max="6" width="11.42578125" style="872"/>
  </cols>
  <sheetData>
    <row r="1" spans="1:8" ht="15.75">
      <c r="A1" s="83"/>
    </row>
    <row r="2" spans="1:8" ht="15.75">
      <c r="A2" s="83"/>
    </row>
    <row r="3" spans="1:8" ht="9.75" customHeight="1">
      <c r="A3" s="83" t="s">
        <v>0</v>
      </c>
    </row>
    <row r="4" spans="1:8" s="10" customFormat="1" ht="14.25">
      <c r="A4" s="4" t="str">
        <f>_soNom</f>
        <v>Cecotra</v>
      </c>
      <c r="B4" s="87"/>
      <c r="C4" s="87"/>
      <c r="D4" s="87"/>
      <c r="E4" s="1342" t="str">
        <f>_ExerClos</f>
        <v>Exercice clos le 31/12/2025</v>
      </c>
      <c r="F4" s="1342"/>
      <c r="G4" s="1342"/>
    </row>
    <row r="5" spans="1:8" s="10" customFormat="1" ht="15" customHeight="1">
      <c r="A5" s="6" t="str">
        <f>_soId</f>
        <v> 3201810353457</v>
      </c>
      <c r="B5" s="87"/>
      <c r="C5" s="87"/>
      <c r="D5" s="87"/>
      <c r="E5" s="1341" t="str">
        <f>_Duree</f>
        <v>Durée (en mois) 12</v>
      </c>
      <c r="F5" s="1341"/>
      <c r="G5" s="1341"/>
    </row>
    <row r="6" spans="1:8" s="10" customFormat="1" ht="4.5" customHeight="1">
      <c r="A6" s="11"/>
      <c r="D6" s="48"/>
      <c r="E6" s="884"/>
      <c r="F6" s="884"/>
    </row>
    <row r="7" spans="1:8">
      <c r="A7" s="1610" t="s">
        <v>663</v>
      </c>
      <c r="B7" s="1610"/>
      <c r="C7" s="1610"/>
      <c r="D7" s="1610"/>
      <c r="E7" s="1610"/>
      <c r="F7" s="1610"/>
      <c r="G7" s="1610"/>
      <c r="H7" s="1610"/>
    </row>
    <row r="8" spans="1:8" ht="16.5" thickBot="1">
      <c r="A8" s="1611" t="s">
        <v>664</v>
      </c>
      <c r="B8" s="1611"/>
      <c r="C8" s="1611"/>
      <c r="D8" s="1611"/>
      <c r="E8" s="1611"/>
      <c r="F8" s="1611"/>
      <c r="G8" s="1611"/>
      <c r="H8" s="1611"/>
    </row>
    <row r="9" spans="1:8" ht="26.25" thickBot="1">
      <c r="A9" s="833" t="s">
        <v>416</v>
      </c>
      <c r="B9" s="834">
        <v>0</v>
      </c>
      <c r="C9" s="834">
        <v>0</v>
      </c>
      <c r="D9" s="834" t="str">
        <f>_ExerFin1</f>
        <v xml:space="preserve"> 31/12/2024</v>
      </c>
      <c r="E9" s="885" t="s">
        <v>645</v>
      </c>
      <c r="F9" s="885" t="s">
        <v>417</v>
      </c>
      <c r="G9" s="834" t="s">
        <v>666</v>
      </c>
      <c r="H9" s="835" t="s">
        <v>667</v>
      </c>
    </row>
    <row r="10" spans="1:8" ht="15" customHeight="1">
      <c r="A10" s="294" t="s">
        <v>668</v>
      </c>
      <c r="B10" s="299">
        <v>0</v>
      </c>
      <c r="C10" s="1026">
        <v>0</v>
      </c>
      <c r="D10" s="1026">
        <v>0</v>
      </c>
      <c r="E10" s="1026">
        <f>(C10-D10)</f>
        <v>0</v>
      </c>
      <c r="F10" s="1026">
        <f>IF(D10=0,0,(C10-D10)/D10)*100</f>
        <v>0</v>
      </c>
      <c r="G10" s="1026"/>
      <c r="H10" s="1027"/>
    </row>
    <row r="11" spans="1:8" ht="15" customHeight="1">
      <c r="A11" s="295" t="s">
        <v>669</v>
      </c>
      <c r="B11" s="298">
        <v>0</v>
      </c>
      <c r="C11" s="1028">
        <v>0</v>
      </c>
      <c r="D11" s="1028">
        <v>0</v>
      </c>
      <c r="E11" s="1026">
        <f t="shared" ref="E11:E28" si="0">(C11-D11)</f>
        <v>0</v>
      </c>
      <c r="F11" s="1026">
        <f t="shared" ref="F11:F27" si="1">IF(D11=0,0,(C11-D11)/D11)*100</f>
        <v>0</v>
      </c>
      <c r="G11" s="1028"/>
      <c r="H11" s="1029"/>
    </row>
    <row r="12" spans="1:8" ht="15" customHeight="1">
      <c r="A12" s="295" t="s">
        <v>670</v>
      </c>
      <c r="B12" s="298">
        <v>0</v>
      </c>
      <c r="C12" s="1028">
        <v>0</v>
      </c>
      <c r="D12" s="1028">
        <v>0</v>
      </c>
      <c r="E12" s="1026">
        <f t="shared" si="0"/>
        <v>0</v>
      </c>
      <c r="F12" s="1026">
        <f t="shared" si="1"/>
        <v>0</v>
      </c>
      <c r="G12" s="1028"/>
      <c r="H12" s="1029"/>
    </row>
    <row r="13" spans="1:8">
      <c r="A13" s="295" t="s">
        <v>671</v>
      </c>
      <c r="B13" s="298">
        <v>0</v>
      </c>
      <c r="C13" s="1028">
        <v>0</v>
      </c>
      <c r="D13" s="1028">
        <v>0</v>
      </c>
      <c r="E13" s="1026">
        <f t="shared" si="0"/>
        <v>0</v>
      </c>
      <c r="F13" s="1026">
        <f t="shared" si="1"/>
        <v>0</v>
      </c>
      <c r="G13" s="1028"/>
      <c r="H13" s="1029"/>
    </row>
    <row r="14" spans="1:8" ht="15" customHeight="1">
      <c r="A14" s="295" t="s">
        <v>672</v>
      </c>
      <c r="B14" s="298">
        <v>0</v>
      </c>
      <c r="C14" s="1028">
        <v>0</v>
      </c>
      <c r="D14" s="1028">
        <v>0</v>
      </c>
      <c r="E14" s="1026">
        <f t="shared" si="0"/>
        <v>0</v>
      </c>
      <c r="F14" s="1026">
        <f t="shared" si="1"/>
        <v>0</v>
      </c>
      <c r="G14" s="1028"/>
      <c r="H14" s="1029"/>
    </row>
    <row r="15" spans="1:8" ht="15" customHeight="1">
      <c r="A15" s="295" t="s">
        <v>673</v>
      </c>
      <c r="B15" s="298">
        <v>0</v>
      </c>
      <c r="C15" s="1028">
        <v>0</v>
      </c>
      <c r="D15" s="1028">
        <v>0</v>
      </c>
      <c r="E15" s="1026">
        <f t="shared" si="0"/>
        <v>0</v>
      </c>
      <c r="F15" s="1026">
        <f t="shared" si="1"/>
        <v>0</v>
      </c>
      <c r="G15" s="1028"/>
      <c r="H15" s="1029"/>
    </row>
    <row r="16" spans="1:8" ht="15" customHeight="1">
      <c r="A16" s="295" t="s">
        <v>307</v>
      </c>
      <c r="B16" s="298">
        <v>0</v>
      </c>
      <c r="C16" s="1028">
        <v>0</v>
      </c>
      <c r="D16" s="1028">
        <v>0</v>
      </c>
      <c r="E16" s="1026">
        <f t="shared" si="0"/>
        <v>0</v>
      </c>
      <c r="F16" s="1026">
        <f t="shared" si="1"/>
        <v>0</v>
      </c>
      <c r="G16" s="1028"/>
      <c r="H16" s="1029"/>
    </row>
    <row r="17" spans="1:10" ht="15" customHeight="1" thickBot="1">
      <c r="A17" s="300" t="s">
        <v>674</v>
      </c>
      <c r="B17" s="301" t="s">
        <v>7</v>
      </c>
      <c r="C17" s="1030">
        <v>0</v>
      </c>
      <c r="D17" s="1030">
        <v>0</v>
      </c>
      <c r="E17" s="1026">
        <f t="shared" si="0"/>
        <v>0</v>
      </c>
      <c r="F17" s="1026">
        <f t="shared" si="1"/>
        <v>0</v>
      </c>
      <c r="G17" s="1030"/>
      <c r="H17" s="1031"/>
    </row>
    <row r="18" spans="1:10" ht="15" customHeight="1" thickBot="1">
      <c r="A18" s="302" t="s">
        <v>675</v>
      </c>
      <c r="B18" s="303"/>
      <c r="C18" s="1032">
        <v>0</v>
      </c>
      <c r="D18" s="1032">
        <v>0</v>
      </c>
      <c r="E18" s="1032">
        <f t="shared" si="0"/>
        <v>0</v>
      </c>
      <c r="F18" s="1032">
        <f t="shared" si="1"/>
        <v>0</v>
      </c>
      <c r="G18" s="1032"/>
      <c r="H18" s="1033"/>
    </row>
    <row r="19" spans="1:10" ht="15" customHeight="1">
      <c r="A19" s="294" t="s">
        <v>7</v>
      </c>
      <c r="B19" s="299">
        <v>0</v>
      </c>
      <c r="C19" s="1026">
        <v>0</v>
      </c>
      <c r="D19" s="1026"/>
      <c r="E19" s="1026">
        <f t="shared" si="0"/>
        <v>0</v>
      </c>
      <c r="F19" s="1026">
        <f t="shared" si="1"/>
        <v>0</v>
      </c>
      <c r="G19" s="1026"/>
      <c r="H19" s="1027"/>
    </row>
    <row r="20" spans="1:10" ht="15" customHeight="1">
      <c r="A20" s="295" t="s">
        <v>676</v>
      </c>
      <c r="B20" s="298">
        <v>0</v>
      </c>
      <c r="C20" s="1028">
        <v>0</v>
      </c>
      <c r="D20" s="1028"/>
      <c r="E20" s="1026">
        <f t="shared" si="0"/>
        <v>0</v>
      </c>
      <c r="F20" s="1026">
        <f t="shared" si="1"/>
        <v>0</v>
      </c>
      <c r="G20" s="1028"/>
      <c r="H20" s="1029"/>
    </row>
    <row r="21" spans="1:10" ht="15" customHeight="1">
      <c r="A21" s="295" t="s">
        <v>677</v>
      </c>
      <c r="B21" s="298">
        <v>0</v>
      </c>
      <c r="C21" s="1028">
        <v>0</v>
      </c>
      <c r="D21" s="1028">
        <v>0</v>
      </c>
      <c r="E21" s="1026">
        <f t="shared" si="0"/>
        <v>0</v>
      </c>
      <c r="F21" s="1026">
        <f t="shared" si="1"/>
        <v>0</v>
      </c>
      <c r="G21" s="1028"/>
      <c r="H21" s="1029"/>
    </row>
    <row r="22" spans="1:10" ht="15" customHeight="1">
      <c r="A22" s="295" t="s">
        <v>678</v>
      </c>
      <c r="B22" s="298">
        <v>0</v>
      </c>
      <c r="C22" s="1028">
        <v>0</v>
      </c>
      <c r="D22" s="1028">
        <v>0</v>
      </c>
      <c r="E22" s="1026">
        <f t="shared" si="0"/>
        <v>0</v>
      </c>
      <c r="F22" s="1026">
        <f t="shared" si="1"/>
        <v>0</v>
      </c>
      <c r="G22" s="1028"/>
      <c r="H22" s="1029"/>
    </row>
    <row r="23" spans="1:10" ht="15" customHeight="1">
      <c r="A23" s="295" t="s">
        <v>679</v>
      </c>
      <c r="B23" s="298">
        <v>0</v>
      </c>
      <c r="C23" s="1028">
        <v>0</v>
      </c>
      <c r="D23" s="1028">
        <v>0</v>
      </c>
      <c r="E23" s="1026">
        <f t="shared" si="0"/>
        <v>0</v>
      </c>
      <c r="F23" s="1026">
        <f t="shared" si="1"/>
        <v>0</v>
      </c>
      <c r="G23" s="1028"/>
      <c r="H23" s="1029"/>
      <c r="J23" s="530"/>
    </row>
    <row r="24" spans="1:10" ht="15" customHeight="1">
      <c r="A24" s="295" t="s">
        <v>680</v>
      </c>
      <c r="B24" s="298" t="s">
        <v>7</v>
      </c>
      <c r="C24" s="1028">
        <v>0</v>
      </c>
      <c r="D24" s="1028">
        <v>0</v>
      </c>
      <c r="E24" s="1026">
        <f t="shared" si="0"/>
        <v>0</v>
      </c>
      <c r="F24" s="1026">
        <f t="shared" si="1"/>
        <v>0</v>
      </c>
      <c r="G24" s="1028"/>
      <c r="H24" s="1029"/>
    </row>
    <row r="25" spans="1:10" ht="15" customHeight="1">
      <c r="A25" s="295" t="s">
        <v>681</v>
      </c>
      <c r="B25" s="298" t="s">
        <v>7</v>
      </c>
      <c r="C25" s="1028">
        <v>0</v>
      </c>
      <c r="D25" s="1028">
        <v>0</v>
      </c>
      <c r="E25" s="1026">
        <f t="shared" si="0"/>
        <v>0</v>
      </c>
      <c r="F25" s="1026">
        <f t="shared" si="1"/>
        <v>0</v>
      </c>
      <c r="G25" s="1028"/>
      <c r="H25" s="1029"/>
    </row>
    <row r="26" spans="1:10" ht="15" customHeight="1" thickBot="1">
      <c r="A26" s="300" t="s">
        <v>682</v>
      </c>
      <c r="B26" s="301">
        <v>0</v>
      </c>
      <c r="C26" s="1030">
        <v>0</v>
      </c>
      <c r="D26" s="1030">
        <v>0</v>
      </c>
      <c r="E26" s="1026">
        <f t="shared" si="0"/>
        <v>0</v>
      </c>
      <c r="F26" s="1026">
        <f t="shared" si="1"/>
        <v>0</v>
      </c>
      <c r="G26" s="1030"/>
      <c r="H26" s="1031"/>
    </row>
    <row r="27" spans="1:10" ht="15" customHeight="1" thickBot="1">
      <c r="A27" s="302" t="s">
        <v>683</v>
      </c>
      <c r="B27" s="303">
        <v>0</v>
      </c>
      <c r="C27" s="1032">
        <v>0</v>
      </c>
      <c r="D27" s="1032">
        <v>0</v>
      </c>
      <c r="E27" s="1032">
        <f t="shared" si="0"/>
        <v>0</v>
      </c>
      <c r="F27" s="1032">
        <f t="shared" si="1"/>
        <v>0</v>
      </c>
      <c r="G27" s="1032"/>
      <c r="H27" s="1033"/>
    </row>
    <row r="28" spans="1:10" ht="15" customHeight="1" thickBot="1">
      <c r="A28" s="304" t="s">
        <v>7</v>
      </c>
      <c r="B28" s="305">
        <v>0</v>
      </c>
      <c r="C28" s="1034">
        <v>0</v>
      </c>
      <c r="D28" s="1034">
        <v>0</v>
      </c>
      <c r="E28" s="1026">
        <f t="shared" si="0"/>
        <v>0</v>
      </c>
      <c r="F28" s="1026"/>
      <c r="G28" s="1034"/>
      <c r="H28" s="1035"/>
    </row>
    <row r="29" spans="1:10" ht="15" customHeight="1">
      <c r="A29" s="306" t="s">
        <v>684</v>
      </c>
      <c r="B29" s="1613">
        <v>0</v>
      </c>
      <c r="C29" s="1615">
        <v>0</v>
      </c>
      <c r="D29" s="1615">
        <f>+D18+D27</f>
        <v>0</v>
      </c>
      <c r="E29" s="1615">
        <f>(C29-D29)</f>
        <v>0</v>
      </c>
      <c r="F29" s="1615">
        <f>IF(D29=0,0,(C29-D29)/D29)*100</f>
        <v>0</v>
      </c>
      <c r="G29" s="1615"/>
      <c r="H29" s="1608"/>
    </row>
    <row r="30" spans="1:10" ht="15" customHeight="1" thickBot="1">
      <c r="A30" s="307" t="s">
        <v>685</v>
      </c>
      <c r="B30" s="1614"/>
      <c r="C30" s="1616"/>
      <c r="D30" s="1616"/>
      <c r="E30" s="1616"/>
      <c r="F30" s="1616"/>
      <c r="G30" s="1616"/>
      <c r="H30" s="1609"/>
    </row>
    <row r="31" spans="1:10" ht="9" customHeight="1">
      <c r="A31" s="81" t="s">
        <v>0</v>
      </c>
      <c r="B31">
        <v>0</v>
      </c>
      <c r="C31">
        <v>0</v>
      </c>
    </row>
    <row r="32" spans="1:10">
      <c r="A32" s="85" t="s">
        <v>686</v>
      </c>
      <c r="B32">
        <v>0</v>
      </c>
      <c r="C32">
        <v>0</v>
      </c>
    </row>
    <row r="33" spans="1:8" ht="39" customHeight="1">
      <c r="A33" s="1612" t="s">
        <v>687</v>
      </c>
      <c r="B33" s="1612"/>
      <c r="C33" s="1612"/>
      <c r="D33" s="1612"/>
      <c r="E33" s="1612"/>
      <c r="F33" s="1612"/>
      <c r="G33" s="1612"/>
      <c r="H33" s="1612"/>
    </row>
    <row r="34" spans="1:8">
      <c r="A34" s="82"/>
      <c r="B34">
        <v>0</v>
      </c>
      <c r="C34">
        <v>0</v>
      </c>
    </row>
    <row r="35" spans="1:8" ht="15.75">
      <c r="A35" s="269" t="s">
        <v>0</v>
      </c>
      <c r="B35">
        <v>0</v>
      </c>
      <c r="C35">
        <v>0</v>
      </c>
    </row>
    <row r="36" spans="1:8">
      <c r="B36">
        <v>0</v>
      </c>
      <c r="C36">
        <v>0</v>
      </c>
    </row>
    <row r="37" spans="1:8">
      <c r="B37">
        <v>0</v>
      </c>
      <c r="C37">
        <v>0</v>
      </c>
    </row>
    <row r="38" spans="1:8">
      <c r="B38">
        <v>0</v>
      </c>
      <c r="C38">
        <v>0</v>
      </c>
    </row>
  </sheetData>
  <mergeCells count="12">
    <mergeCell ref="A33:H33"/>
    <mergeCell ref="B29:B30"/>
    <mergeCell ref="C29:C30"/>
    <mergeCell ref="D29:D30"/>
    <mergeCell ref="E29:E30"/>
    <mergeCell ref="F29:F30"/>
    <mergeCell ref="G29:G30"/>
    <mergeCell ref="E4:G4"/>
    <mergeCell ref="E5:G5"/>
    <mergeCell ref="H29:H30"/>
    <mergeCell ref="A7:H7"/>
    <mergeCell ref="A8:H8"/>
  </mergeCells>
  <pageMargins left="0.70866141732283472" right="0.70866141732283472" top="0.74803149606299213" bottom="0.74803149606299213" header="0.31496062992125984" footer="0.31496062992125984"/>
  <pageSetup paperSize="9" scale="90"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24"/>
  <sheetViews>
    <sheetView showZeros="0" topLeftCell="A4" workbookViewId="0">
      <selection activeCell="F15" sqref="F15"/>
    </sheetView>
  </sheetViews>
  <sheetFormatPr baseColWidth="10" defaultRowHeight="15"/>
  <cols>
    <col min="1" max="1" width="61.7109375" customWidth="1"/>
    <col min="6" max="6" width="11.42578125" style="875"/>
  </cols>
  <sheetData>
    <row r="4" spans="1:7" s="10" customFormat="1" ht="14.25">
      <c r="A4" s="4" t="str">
        <f>_soNom</f>
        <v>Cecotra</v>
      </c>
      <c r="B4" s="87"/>
      <c r="C4" s="87"/>
      <c r="D4" s="87"/>
      <c r="E4" s="1342" t="str">
        <f>_ExerClos</f>
        <v>Exercice clos le 31/12/2025</v>
      </c>
      <c r="F4" s="1342"/>
      <c r="G4" s="1342"/>
    </row>
    <row r="5" spans="1:7" s="10" customFormat="1" ht="15" customHeight="1">
      <c r="A5" s="6" t="str">
        <f>_soId</f>
        <v> 3201810353457</v>
      </c>
      <c r="B5" s="87"/>
      <c r="C5" s="87"/>
      <c r="D5" s="87"/>
      <c r="E5" s="1341" t="str">
        <f>_Duree</f>
        <v>Durée (en mois) 12</v>
      </c>
      <c r="F5" s="1341"/>
      <c r="G5" s="1341"/>
    </row>
    <row r="7" spans="1:7">
      <c r="A7" s="1497" t="s">
        <v>688</v>
      </c>
      <c r="B7" s="1497"/>
      <c r="C7" s="1497"/>
      <c r="D7" s="1497"/>
      <c r="E7" s="1497"/>
      <c r="F7" s="1497"/>
      <c r="G7" s="1497"/>
    </row>
    <row r="8" spans="1:7" ht="15.75" thickBot="1">
      <c r="A8" s="1578" t="s">
        <v>689</v>
      </c>
      <c r="B8" s="1578"/>
      <c r="C8" s="1578"/>
      <c r="D8" s="1578"/>
      <c r="E8" s="1578"/>
      <c r="F8" s="1578"/>
      <c r="G8" s="1578"/>
    </row>
    <row r="9" spans="1:7" ht="43.5" thickBot="1">
      <c r="A9" s="271" t="s">
        <v>649</v>
      </c>
      <c r="B9" s="268" t="s">
        <v>665</v>
      </c>
      <c r="C9" s="268" t="str">
        <f>_ExerFin</f>
        <v xml:space="preserve"> 31/12/2025</v>
      </c>
      <c r="D9" s="268" t="str">
        <f>_ExerFin1</f>
        <v xml:space="preserve"> 31/12/2024</v>
      </c>
      <c r="E9" s="268" t="s">
        <v>645</v>
      </c>
      <c r="F9" s="882" t="s">
        <v>417</v>
      </c>
      <c r="G9" s="272" t="s">
        <v>667</v>
      </c>
    </row>
    <row r="10" spans="1:7" ht="15" customHeight="1" thickBot="1">
      <c r="A10" s="77" t="s">
        <v>690</v>
      </c>
      <c r="B10" s="1036" t="s">
        <v>7</v>
      </c>
      <c r="C10" s="1036"/>
      <c r="D10" s="1036"/>
      <c r="E10" s="1036">
        <f>C10-D10</f>
        <v>0</v>
      </c>
      <c r="F10" s="1036">
        <f>IF(D10=0,0,(C10-D10)/D10)*100</f>
        <v>0</v>
      </c>
      <c r="G10" s="1036"/>
    </row>
    <row r="11" spans="1:7" ht="17.25" thickBot="1">
      <c r="A11" s="77" t="s">
        <v>691</v>
      </c>
      <c r="B11" s="1036" t="s">
        <v>7</v>
      </c>
      <c r="C11" s="1036"/>
      <c r="D11" s="1036"/>
      <c r="E11" s="1036">
        <f t="shared" ref="E11:E14" si="0">C11-D11</f>
        <v>0</v>
      </c>
      <c r="F11" s="1036">
        <f t="shared" ref="F11:F13" si="1">IF(D11=0,0,(C11-D11)/D11)*100</f>
        <v>0</v>
      </c>
      <c r="G11" s="1036"/>
    </row>
    <row r="12" spans="1:7" ht="15.75" thickBot="1">
      <c r="A12" s="273" t="s">
        <v>692</v>
      </c>
      <c r="B12" s="1036" t="s">
        <v>7</v>
      </c>
      <c r="C12" s="1036"/>
      <c r="D12" s="1036"/>
      <c r="E12" s="1036">
        <f t="shared" si="0"/>
        <v>0</v>
      </c>
      <c r="F12" s="1036">
        <f t="shared" si="1"/>
        <v>0</v>
      </c>
      <c r="G12" s="1036"/>
    </row>
    <row r="13" spans="1:7" ht="15.75" thickBot="1">
      <c r="A13" s="77" t="s">
        <v>693</v>
      </c>
      <c r="B13" s="1036" t="s">
        <v>7</v>
      </c>
      <c r="C13" s="1036"/>
      <c r="D13" s="1036"/>
      <c r="E13" s="1036">
        <f t="shared" si="0"/>
        <v>0</v>
      </c>
      <c r="F13" s="1036">
        <f t="shared" si="1"/>
        <v>0</v>
      </c>
      <c r="G13" s="1036"/>
    </row>
    <row r="14" spans="1:7" ht="15" customHeight="1" thickBot="1">
      <c r="A14" s="77" t="s">
        <v>674</v>
      </c>
      <c r="B14" s="1036" t="s">
        <v>7</v>
      </c>
      <c r="C14" s="1036"/>
      <c r="D14" s="1036"/>
      <c r="E14" s="1036">
        <f t="shared" si="0"/>
        <v>0</v>
      </c>
      <c r="F14" s="1036">
        <f>IF(D14=0,0,(C14-D14)/D14)*100</f>
        <v>0</v>
      </c>
      <c r="G14" s="1036"/>
    </row>
    <row r="15" spans="1:7" ht="15" customHeight="1" thickBot="1">
      <c r="A15" s="80" t="s">
        <v>694</v>
      </c>
      <c r="B15" s="1037" t="s">
        <v>7</v>
      </c>
      <c r="C15" s="1038">
        <f>SUM(C10:C14)</f>
        <v>0</v>
      </c>
      <c r="D15" s="1038">
        <f>SUM(D10:D14)</f>
        <v>0</v>
      </c>
      <c r="E15" s="1038">
        <f>C15-D15</f>
        <v>0</v>
      </c>
      <c r="F15" s="1038">
        <f>IF(D15=0,0,(C15-D15)/D15)*100</f>
        <v>0</v>
      </c>
      <c r="G15" s="1038"/>
    </row>
    <row r="16" spans="1:7">
      <c r="A16" s="274" t="s">
        <v>695</v>
      </c>
    </row>
    <row r="17" spans="1:7" ht="52.5" customHeight="1">
      <c r="A17" s="1619" t="s">
        <v>1420</v>
      </c>
      <c r="B17" s="1619"/>
      <c r="C17" s="1619"/>
      <c r="D17" s="1619"/>
      <c r="E17" s="1619"/>
      <c r="F17" s="1619"/>
      <c r="G17" s="1619"/>
    </row>
    <row r="18" spans="1:7">
      <c r="A18" s="85" t="s">
        <v>1421</v>
      </c>
      <c r="B18" s="531"/>
      <c r="C18" s="531"/>
      <c r="D18" s="531"/>
      <c r="E18" s="531"/>
      <c r="F18" s="883"/>
      <c r="G18" s="531"/>
    </row>
    <row r="19" spans="1:7" ht="38.25" customHeight="1">
      <c r="A19" s="1617" t="s">
        <v>1422</v>
      </c>
      <c r="B19" s="1617"/>
      <c r="C19" s="1617"/>
      <c r="D19" s="1617"/>
      <c r="E19" s="1617"/>
      <c r="F19" s="1617"/>
      <c r="G19" s="1617"/>
    </row>
    <row r="20" spans="1:7" ht="21" customHeight="1">
      <c r="A20" s="1618" t="s">
        <v>727</v>
      </c>
      <c r="B20" s="1617"/>
      <c r="C20" s="1617"/>
      <c r="D20" s="1617"/>
      <c r="E20" s="1617"/>
      <c r="F20" s="1617"/>
      <c r="G20" s="1617"/>
    </row>
    <row r="21" spans="1:7">
      <c r="A21" s="274" t="s">
        <v>0</v>
      </c>
    </row>
    <row r="22" spans="1:7">
      <c r="A22" s="270" t="s">
        <v>0</v>
      </c>
    </row>
    <row r="23" spans="1:7">
      <c r="A23" s="270" t="s">
        <v>0</v>
      </c>
    </row>
    <row r="24" spans="1:7">
      <c r="A24" s="270" t="s">
        <v>0</v>
      </c>
    </row>
  </sheetData>
  <mergeCells count="7">
    <mergeCell ref="A19:G19"/>
    <mergeCell ref="A20:G20"/>
    <mergeCell ref="E4:G4"/>
    <mergeCell ref="E5:G5"/>
    <mergeCell ref="A7:G7"/>
    <mergeCell ref="A8:G8"/>
    <mergeCell ref="A17:G17"/>
  </mergeCells>
  <pageMargins left="0.7" right="0.7" top="0.75" bottom="0.75" header="0.3" footer="0.3"/>
  <pageSetup paperSize="9"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43"/>
  <sheetViews>
    <sheetView showZeros="0" topLeftCell="A13" workbookViewId="0">
      <selection activeCell="E39" sqref="E39"/>
    </sheetView>
  </sheetViews>
  <sheetFormatPr baseColWidth="10" defaultRowHeight="12"/>
  <cols>
    <col min="1" max="1" width="71.7109375" style="87" customWidth="1"/>
    <col min="2" max="2" width="14" style="87" bestFit="1" customWidth="1"/>
    <col min="3" max="3" width="14.28515625" style="87" customWidth="1"/>
    <col min="4" max="4" width="13.42578125" style="87" customWidth="1"/>
    <col min="5" max="5" width="13.7109375" style="87" customWidth="1"/>
    <col min="6" max="6" width="14" style="87" customWidth="1"/>
    <col min="7" max="7" width="18.5703125" style="87" customWidth="1"/>
    <col min="8" max="8" width="14.42578125" style="87" customWidth="1"/>
    <col min="9" max="16384" width="11.42578125" style="87"/>
  </cols>
  <sheetData>
    <row r="3" spans="1:8" s="10" customFormat="1" ht="22.5" customHeight="1">
      <c r="A3" s="4" t="str">
        <f>_soNom</f>
        <v>Cecotra</v>
      </c>
      <c r="B3" s="87"/>
      <c r="C3" s="87"/>
      <c r="D3" s="87"/>
      <c r="E3" s="1342" t="str">
        <f>_ExerClos</f>
        <v>Exercice clos le 31/12/2025</v>
      </c>
      <c r="F3" s="1342"/>
      <c r="G3" s="1342"/>
    </row>
    <row r="4" spans="1:8" s="10" customFormat="1" ht="15" customHeight="1">
      <c r="A4" s="6" t="str">
        <f>_soId</f>
        <v> 3201810353457</v>
      </c>
      <c r="B4" s="87"/>
      <c r="C4" s="87"/>
      <c r="D4" s="87"/>
      <c r="E4" s="1341" t="str">
        <f>_Duree</f>
        <v>Durée (en mois) 12</v>
      </c>
      <c r="F4" s="1341"/>
      <c r="G4" s="1341"/>
    </row>
    <row r="5" spans="1:8" ht="12.75" thickBot="1">
      <c r="A5" s="1620" t="s">
        <v>913</v>
      </c>
      <c r="B5" s="1620"/>
      <c r="C5" s="1620"/>
      <c r="D5" s="1620"/>
      <c r="E5" s="1620"/>
      <c r="F5" s="1620"/>
      <c r="G5" s="1620"/>
      <c r="H5" s="1620"/>
    </row>
    <row r="6" spans="1:8" ht="47.25" customHeight="1" thickBot="1">
      <c r="A6" s="319" t="s">
        <v>877</v>
      </c>
      <c r="B6" s="320" t="str">
        <f>_ExerFin</f>
        <v xml:space="preserve"> 31/12/2025</v>
      </c>
      <c r="C6" s="320" t="str">
        <f>_ExerFin1</f>
        <v xml:space="preserve"> 31/12/2024</v>
      </c>
      <c r="D6" s="320" t="s">
        <v>878</v>
      </c>
      <c r="E6" s="320" t="s">
        <v>442</v>
      </c>
      <c r="F6" s="320" t="s">
        <v>879</v>
      </c>
      <c r="G6" s="320" t="s">
        <v>880</v>
      </c>
      <c r="H6" s="321" t="s">
        <v>881</v>
      </c>
    </row>
    <row r="7" spans="1:8">
      <c r="A7" s="287" t="s">
        <v>882</v>
      </c>
      <c r="B7" s="1014">
        <v>0</v>
      </c>
      <c r="C7" s="1014">
        <v>0</v>
      </c>
      <c r="D7" s="1014">
        <f>(B7-C7)</f>
        <v>0</v>
      </c>
      <c r="E7" s="1014">
        <f>IF(C7=0,0,(B7-C7)/C7)*100</f>
        <v>0</v>
      </c>
      <c r="F7" s="1014"/>
      <c r="G7" s="1014"/>
      <c r="H7" s="1015"/>
    </row>
    <row r="8" spans="1:8">
      <c r="A8" s="285" t="s">
        <v>883</v>
      </c>
      <c r="B8" s="1017">
        <v>0</v>
      </c>
      <c r="C8" s="1017">
        <v>0</v>
      </c>
      <c r="D8" s="1014">
        <f t="shared" ref="D8:D16" si="0">(B8-C8)</f>
        <v>0</v>
      </c>
      <c r="E8" s="1014">
        <f t="shared" ref="E8:E17" si="1">IF(C8=0,0,(B8-C8)/C8)*100</f>
        <v>0</v>
      </c>
      <c r="F8" s="1017">
        <f>0</f>
        <v>0</v>
      </c>
      <c r="G8" s="1017"/>
      <c r="H8" s="1018">
        <f>B8-G8</f>
        <v>0</v>
      </c>
    </row>
    <row r="9" spans="1:8">
      <c r="A9" s="285" t="s">
        <v>884</v>
      </c>
      <c r="B9" s="1017">
        <v>0</v>
      </c>
      <c r="C9" s="1017">
        <v>0</v>
      </c>
      <c r="D9" s="1014">
        <f t="shared" si="0"/>
        <v>0</v>
      </c>
      <c r="E9" s="1014">
        <f t="shared" si="1"/>
        <v>0</v>
      </c>
      <c r="F9" s="1017"/>
      <c r="G9" s="1017"/>
      <c r="H9" s="1018"/>
    </row>
    <row r="10" spans="1:8">
      <c r="A10" s="285" t="s">
        <v>885</v>
      </c>
      <c r="B10" s="1017">
        <v>0</v>
      </c>
      <c r="C10" s="1017">
        <v>0</v>
      </c>
      <c r="D10" s="1014">
        <f t="shared" si="0"/>
        <v>0</v>
      </c>
      <c r="E10" s="1014">
        <f t="shared" si="1"/>
        <v>0</v>
      </c>
      <c r="F10" s="1017"/>
      <c r="G10" s="1017"/>
      <c r="H10" s="1018"/>
    </row>
    <row r="11" spans="1:8">
      <c r="A11" s="285" t="s">
        <v>886</v>
      </c>
      <c r="B11" s="1017">
        <v>0</v>
      </c>
      <c r="C11" s="1017">
        <v>0</v>
      </c>
      <c r="D11" s="1014">
        <f t="shared" si="0"/>
        <v>0</v>
      </c>
      <c r="E11" s="1014">
        <f t="shared" si="1"/>
        <v>0</v>
      </c>
      <c r="F11" s="1017"/>
      <c r="G11" s="1017"/>
      <c r="H11" s="1018"/>
    </row>
    <row r="12" spans="1:8">
      <c r="A12" s="285" t="s">
        <v>887</v>
      </c>
      <c r="B12" s="1017">
        <v>0</v>
      </c>
      <c r="C12" s="1017">
        <v>0</v>
      </c>
      <c r="D12" s="1014">
        <f t="shared" si="0"/>
        <v>0</v>
      </c>
      <c r="E12" s="1014">
        <f t="shared" si="1"/>
        <v>0</v>
      </c>
      <c r="F12" s="1017"/>
      <c r="G12" s="1017"/>
      <c r="H12" s="1018"/>
    </row>
    <row r="13" spans="1:8">
      <c r="A13" s="285" t="s">
        <v>888</v>
      </c>
      <c r="B13" s="1017">
        <v>0</v>
      </c>
      <c r="C13" s="1017">
        <v>0</v>
      </c>
      <c r="D13" s="1014">
        <f t="shared" si="0"/>
        <v>0</v>
      </c>
      <c r="E13" s="1014">
        <f t="shared" si="1"/>
        <v>0</v>
      </c>
      <c r="F13" s="1017"/>
      <c r="G13" s="1017"/>
      <c r="H13" s="1018"/>
    </row>
    <row r="14" spans="1:8">
      <c r="A14" s="285" t="s">
        <v>889</v>
      </c>
      <c r="B14" s="1017">
        <v>0</v>
      </c>
      <c r="C14" s="1017">
        <v>0</v>
      </c>
      <c r="D14" s="1014">
        <f t="shared" si="0"/>
        <v>0</v>
      </c>
      <c r="E14" s="1014">
        <f t="shared" si="1"/>
        <v>0</v>
      </c>
      <c r="F14" s="1017"/>
      <c r="G14" s="1017">
        <v>0</v>
      </c>
      <c r="H14" s="1018">
        <f>C14</f>
        <v>0</v>
      </c>
    </row>
    <row r="15" spans="1:8">
      <c r="A15" s="285" t="s">
        <v>890</v>
      </c>
      <c r="B15" s="1017">
        <v>0</v>
      </c>
      <c r="C15" s="1017">
        <v>0</v>
      </c>
      <c r="D15" s="1014">
        <f t="shared" si="0"/>
        <v>0</v>
      </c>
      <c r="E15" s="1014">
        <f>IF(C15=0,0,(B15-C15)/C15)*100</f>
        <v>0</v>
      </c>
      <c r="F15" s="1017"/>
      <c r="G15" s="1017"/>
      <c r="H15" s="1018"/>
    </row>
    <row r="16" spans="1:8" ht="12.75" thickBot="1">
      <c r="A16" s="322" t="s">
        <v>891</v>
      </c>
      <c r="B16" s="1039">
        <v>0</v>
      </c>
      <c r="C16" s="1039">
        <v>0</v>
      </c>
      <c r="D16" s="1014">
        <f t="shared" si="0"/>
        <v>0</v>
      </c>
      <c r="E16" s="1014">
        <f t="shared" si="1"/>
        <v>0</v>
      </c>
      <c r="F16" s="1039"/>
      <c r="G16" s="1039"/>
      <c r="H16" s="1040"/>
    </row>
    <row r="17" spans="1:8" ht="12.75" thickBot="1">
      <c r="A17" s="324" t="s">
        <v>892</v>
      </c>
      <c r="B17" s="1041">
        <f>SUM(B7:B16)</f>
        <v>0</v>
      </c>
      <c r="C17" s="1041">
        <f t="shared" ref="C17:H17" si="2">SUM(C7:C16)</f>
        <v>0</v>
      </c>
      <c r="D17" s="1041">
        <f t="shared" si="2"/>
        <v>0</v>
      </c>
      <c r="E17" s="1041">
        <f t="shared" si="1"/>
        <v>0</v>
      </c>
      <c r="F17" s="1041">
        <f t="shared" si="2"/>
        <v>0</v>
      </c>
      <c r="G17" s="1041">
        <f t="shared" si="2"/>
        <v>0</v>
      </c>
      <c r="H17" s="1041">
        <f t="shared" si="2"/>
        <v>0</v>
      </c>
    </row>
    <row r="18" spans="1:8">
      <c r="A18" s="287"/>
      <c r="B18" s="1014"/>
      <c r="C18" s="1014"/>
      <c r="D18" s="1014"/>
      <c r="E18" s="1014"/>
      <c r="F18" s="1014"/>
      <c r="G18" s="1014"/>
      <c r="H18" s="1015"/>
    </row>
    <row r="19" spans="1:8">
      <c r="A19" s="285" t="s">
        <v>893</v>
      </c>
      <c r="B19" s="1017">
        <v>0</v>
      </c>
      <c r="C19" s="1017">
        <v>0</v>
      </c>
      <c r="D19" s="1017"/>
      <c r="E19" s="1017">
        <f>IF(C19=0,0,(B19-C19)/C19)*100</f>
        <v>0</v>
      </c>
      <c r="F19" s="1017"/>
      <c r="G19" s="1017"/>
      <c r="H19" s="1018"/>
    </row>
    <row r="20" spans="1:8">
      <c r="A20" s="285" t="s">
        <v>894</v>
      </c>
      <c r="B20" s="1017">
        <v>0</v>
      </c>
      <c r="C20" s="1017">
        <v>0</v>
      </c>
      <c r="D20" s="1017"/>
      <c r="E20" s="1017">
        <f t="shared" ref="E20:E24" si="3">IF(C20=0,0,(B20-C20)/C20)*100</f>
        <v>0</v>
      </c>
      <c r="F20" s="1017"/>
      <c r="G20" s="1017"/>
      <c r="H20" s="1018"/>
    </row>
    <row r="21" spans="1:8">
      <c r="A21" s="285" t="s">
        <v>895</v>
      </c>
      <c r="B21" s="1017">
        <v>0</v>
      </c>
      <c r="C21" s="1017">
        <v>0</v>
      </c>
      <c r="D21" s="1017"/>
      <c r="E21" s="1017">
        <f>IF(C21=0,0,(B21-C21)/C21)*100</f>
        <v>0</v>
      </c>
      <c r="F21" s="1017"/>
      <c r="G21" s="1017"/>
      <c r="H21" s="1018"/>
    </row>
    <row r="22" spans="1:8">
      <c r="A22" s="285" t="s">
        <v>896</v>
      </c>
      <c r="B22" s="1017">
        <v>0</v>
      </c>
      <c r="C22" s="1017">
        <v>0</v>
      </c>
      <c r="D22" s="1017"/>
      <c r="E22" s="1017">
        <f t="shared" si="3"/>
        <v>0</v>
      </c>
      <c r="F22" s="1017"/>
      <c r="G22" s="1017"/>
      <c r="H22" s="1018"/>
    </row>
    <row r="23" spans="1:8" ht="12.75" thickBot="1">
      <c r="A23" s="322" t="s">
        <v>897</v>
      </c>
      <c r="B23" s="1039">
        <v>0</v>
      </c>
      <c r="C23" s="1039">
        <v>0</v>
      </c>
      <c r="D23" s="1039"/>
      <c r="E23" s="1017">
        <f t="shared" si="3"/>
        <v>0</v>
      </c>
      <c r="F23" s="1039"/>
      <c r="G23" s="1039"/>
      <c r="H23" s="1040"/>
    </row>
    <row r="24" spans="1:8" ht="12.75" thickBot="1">
      <c r="A24" s="324" t="s">
        <v>898</v>
      </c>
      <c r="B24" s="1042">
        <f>SUM(B19:B23)</f>
        <v>0</v>
      </c>
      <c r="C24" s="1042">
        <f>SUM(C19:C23)</f>
        <v>0</v>
      </c>
      <c r="D24" s="1042">
        <f>(B24-C24)</f>
        <v>0</v>
      </c>
      <c r="E24" s="1042">
        <f t="shared" si="3"/>
        <v>0</v>
      </c>
      <c r="F24" s="1042">
        <f>SUM(F19:F23)</f>
        <v>0</v>
      </c>
      <c r="G24" s="1042">
        <f>SUM(G19:G23)</f>
        <v>0</v>
      </c>
      <c r="H24" s="1043"/>
    </row>
    <row r="25" spans="1:8">
      <c r="A25" s="287"/>
      <c r="B25" s="1014"/>
      <c r="C25" s="1014"/>
      <c r="D25" s="1014"/>
      <c r="E25" s="1014"/>
      <c r="F25" s="1013"/>
      <c r="G25" s="1013"/>
      <c r="H25" s="1044"/>
    </row>
    <row r="26" spans="1:8">
      <c r="A26" s="285" t="s">
        <v>899</v>
      </c>
      <c r="B26" s="1017">
        <v>0</v>
      </c>
      <c r="C26" s="1017">
        <v>0</v>
      </c>
      <c r="D26" s="1017">
        <f>B26-C26</f>
        <v>0</v>
      </c>
      <c r="E26" s="1017">
        <f>IF(C26=0,0,(B26-C26)/C26)*100</f>
        <v>0</v>
      </c>
      <c r="F26" s="1045"/>
      <c r="G26" s="1045"/>
      <c r="H26" s="1046"/>
    </row>
    <row r="27" spans="1:8">
      <c r="A27" s="285" t="s">
        <v>900</v>
      </c>
      <c r="B27" s="1017">
        <v>0</v>
      </c>
      <c r="C27" s="1017">
        <v>0</v>
      </c>
      <c r="D27" s="1017"/>
      <c r="E27" s="1017">
        <f t="shared" ref="E27:E39" si="4">IF(C27=0,0,(B27-C27)/C27)*100</f>
        <v>0</v>
      </c>
      <c r="F27" s="1045"/>
      <c r="G27" s="1045"/>
      <c r="H27" s="1046"/>
    </row>
    <row r="28" spans="1:8">
      <c r="A28" s="285" t="s">
        <v>901</v>
      </c>
      <c r="B28" s="1017">
        <v>0</v>
      </c>
      <c r="C28" s="1017">
        <v>0</v>
      </c>
      <c r="D28" s="1017"/>
      <c r="E28" s="1017">
        <f t="shared" si="4"/>
        <v>0</v>
      </c>
      <c r="F28" s="1045"/>
      <c r="G28" s="1045"/>
      <c r="H28" s="1046"/>
    </row>
    <row r="29" spans="1:8">
      <c r="A29" s="285" t="s">
        <v>902</v>
      </c>
      <c r="B29" s="1017">
        <v>0</v>
      </c>
      <c r="C29" s="1017">
        <v>0</v>
      </c>
      <c r="D29" s="1017"/>
      <c r="E29" s="1017">
        <f t="shared" si="4"/>
        <v>0</v>
      </c>
      <c r="F29" s="1045"/>
      <c r="G29" s="1045"/>
      <c r="H29" s="1046"/>
    </row>
    <row r="30" spans="1:8">
      <c r="A30" s="285" t="s">
        <v>903</v>
      </c>
      <c r="B30" s="1017">
        <v>0</v>
      </c>
      <c r="C30" s="1017">
        <v>0</v>
      </c>
      <c r="D30" s="1017"/>
      <c r="E30" s="1017">
        <f t="shared" si="4"/>
        <v>0</v>
      </c>
      <c r="F30" s="1045"/>
      <c r="G30" s="1045"/>
      <c r="H30" s="1046"/>
    </row>
    <row r="31" spans="1:8">
      <c r="A31" s="285" t="s">
        <v>904</v>
      </c>
      <c r="B31" s="1017">
        <v>0</v>
      </c>
      <c r="C31" s="1017">
        <v>0</v>
      </c>
      <c r="D31" s="1017"/>
      <c r="E31" s="1017">
        <f t="shared" si="4"/>
        <v>0</v>
      </c>
      <c r="F31" s="1045"/>
      <c r="G31" s="1045"/>
      <c r="H31" s="1046"/>
    </row>
    <row r="32" spans="1:8">
      <c r="A32" s="285" t="s">
        <v>905</v>
      </c>
      <c r="B32" s="1017">
        <v>0</v>
      </c>
      <c r="C32" s="1017">
        <v>0</v>
      </c>
      <c r="D32" s="1017"/>
      <c r="E32" s="1017">
        <f t="shared" si="4"/>
        <v>0</v>
      </c>
      <c r="F32" s="1045"/>
      <c r="G32" s="1045"/>
      <c r="H32" s="1046"/>
    </row>
    <row r="33" spans="1:8">
      <c r="A33" s="285" t="s">
        <v>906</v>
      </c>
      <c r="B33" s="1017">
        <v>0</v>
      </c>
      <c r="C33" s="1017">
        <v>0</v>
      </c>
      <c r="D33" s="1017"/>
      <c r="E33" s="1017">
        <f t="shared" si="4"/>
        <v>0</v>
      </c>
      <c r="F33" s="1045"/>
      <c r="G33" s="1045"/>
      <c r="H33" s="1046"/>
    </row>
    <row r="34" spans="1:8">
      <c r="A34" s="285" t="s">
        <v>907</v>
      </c>
      <c r="B34" s="1017">
        <v>0</v>
      </c>
      <c r="C34" s="1017">
        <v>0</v>
      </c>
      <c r="D34" s="1017"/>
      <c r="E34" s="1017">
        <f t="shared" si="4"/>
        <v>0</v>
      </c>
      <c r="F34" s="1045"/>
      <c r="G34" s="1045"/>
      <c r="H34" s="1046"/>
    </row>
    <row r="35" spans="1:8">
      <c r="A35" s="285" t="s">
        <v>908</v>
      </c>
      <c r="B35" s="1017">
        <v>0</v>
      </c>
      <c r="C35" s="1017">
        <v>0</v>
      </c>
      <c r="D35" s="1017"/>
      <c r="E35" s="1017">
        <f t="shared" si="4"/>
        <v>0</v>
      </c>
      <c r="F35" s="1045"/>
      <c r="G35" s="1045"/>
      <c r="H35" s="1046"/>
    </row>
    <row r="36" spans="1:8">
      <c r="A36" s="285" t="s">
        <v>909</v>
      </c>
      <c r="B36" s="1017">
        <v>0</v>
      </c>
      <c r="C36" s="1017">
        <v>0</v>
      </c>
      <c r="D36" s="1017"/>
      <c r="E36" s="1017">
        <f t="shared" si="4"/>
        <v>0</v>
      </c>
      <c r="F36" s="1045"/>
      <c r="G36" s="1045"/>
      <c r="H36" s="1046"/>
    </row>
    <row r="37" spans="1:8">
      <c r="A37" s="285" t="s">
        <v>910</v>
      </c>
      <c r="B37" s="1017">
        <v>0</v>
      </c>
      <c r="C37" s="1017">
        <v>0</v>
      </c>
      <c r="D37" s="1017"/>
      <c r="E37" s="1017">
        <f t="shared" si="4"/>
        <v>0</v>
      </c>
      <c r="F37" s="1045"/>
      <c r="G37" s="1045"/>
      <c r="H37" s="1046"/>
    </row>
    <row r="38" spans="1:8" ht="12.75" thickBot="1">
      <c r="A38" s="322" t="s">
        <v>911</v>
      </c>
      <c r="B38" s="1039">
        <v>0</v>
      </c>
      <c r="C38" s="1039">
        <v>0</v>
      </c>
      <c r="D38" s="1039"/>
      <c r="E38" s="1017">
        <f t="shared" si="4"/>
        <v>0</v>
      </c>
      <c r="F38" s="1047"/>
      <c r="G38" s="1047"/>
      <c r="H38" s="1048"/>
    </row>
    <row r="39" spans="1:8" ht="12.75" thickBot="1">
      <c r="A39" s="324" t="s">
        <v>912</v>
      </c>
      <c r="B39" s="1041">
        <f>SUM(B26:B38)</f>
        <v>0</v>
      </c>
      <c r="C39" s="1041">
        <f t="shared" ref="C39" si="5">SUM(C26:C38)</f>
        <v>0</v>
      </c>
      <c r="D39" s="1041">
        <f>B39-C39</f>
        <v>0</v>
      </c>
      <c r="E39" s="1041">
        <f t="shared" si="4"/>
        <v>0</v>
      </c>
      <c r="F39" s="1049"/>
      <c r="G39" s="1049"/>
      <c r="H39" s="1050"/>
    </row>
    <row r="40" spans="1:8">
      <c r="A40" s="206" t="s">
        <v>1651</v>
      </c>
    </row>
    <row r="41" spans="1:8" ht="15.75" customHeight="1">
      <c r="A41" s="1621"/>
      <c r="B41" s="1621"/>
      <c r="C41" s="1621"/>
    </row>
    <row r="42" spans="1:8">
      <c r="A42" s="443"/>
      <c r="B42" s="443"/>
      <c r="C42" s="443"/>
    </row>
    <row r="43" spans="1:8">
      <c r="A43" s="443"/>
      <c r="B43" s="443"/>
      <c r="C43" s="443"/>
    </row>
  </sheetData>
  <mergeCells count="4">
    <mergeCell ref="A5:H5"/>
    <mergeCell ref="A41:C41"/>
    <mergeCell ref="E3:G3"/>
    <mergeCell ref="E4:G4"/>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E42"/>
  <sheetViews>
    <sheetView topLeftCell="A28" workbookViewId="0">
      <selection activeCell="A33" sqref="A33:XFD38"/>
    </sheetView>
  </sheetViews>
  <sheetFormatPr baseColWidth="10" defaultRowHeight="12"/>
  <cols>
    <col min="1" max="1" width="76.7109375" style="87" customWidth="1"/>
    <col min="2" max="2" width="19.42578125" style="87" customWidth="1"/>
    <col min="3" max="3" width="19" style="87" customWidth="1"/>
    <col min="4" max="4" width="17.140625" style="87" customWidth="1"/>
    <col min="5" max="5" width="17.7109375" style="87" customWidth="1"/>
    <col min="6" max="16384" width="11.42578125" style="87"/>
  </cols>
  <sheetData>
    <row r="5" spans="1:5" s="10" customFormat="1" ht="14.25">
      <c r="A5" s="4" t="str">
        <f>_soNom</f>
        <v>Cecotra</v>
      </c>
      <c r="B5" s="1342" t="str">
        <f>_ExerClos</f>
        <v>Exercice clos le 31/12/2025</v>
      </c>
      <c r="C5" s="1342"/>
    </row>
    <row r="6" spans="1:5" s="10" customFormat="1" ht="15" customHeight="1">
      <c r="A6" s="6" t="str">
        <f>_soId</f>
        <v> 3201810353457</v>
      </c>
      <c r="B6" s="1341" t="str">
        <f>_Duree</f>
        <v>Durée (en mois) 12</v>
      </c>
      <c r="C6" s="1341"/>
    </row>
    <row r="7" spans="1:5" ht="14.25">
      <c r="A7" s="1559" t="s">
        <v>920</v>
      </c>
      <c r="B7" s="1559"/>
      <c r="C7" s="1559"/>
      <c r="D7" s="244"/>
      <c r="E7" s="244"/>
    </row>
    <row r="8" spans="1:5" ht="15" thickBot="1">
      <c r="A8" s="1622" t="s">
        <v>921</v>
      </c>
      <c r="B8" s="1622"/>
      <c r="C8" s="1622"/>
      <c r="D8" s="1622"/>
      <c r="E8" s="221"/>
    </row>
    <row r="9" spans="1:5">
      <c r="A9" s="188" t="s">
        <v>728</v>
      </c>
      <c r="B9" s="330"/>
      <c r="C9" s="331"/>
    </row>
    <row r="10" spans="1:5" ht="12.75" thickBot="1">
      <c r="A10" s="333" t="s">
        <v>416</v>
      </c>
      <c r="B10" s="524" t="str">
        <f>_ExerFin</f>
        <v xml:space="preserve"> 31/12/2025</v>
      </c>
      <c r="C10" s="535" t="str">
        <f>_ExerFin1</f>
        <v xml:space="preserve"> 31/12/2024</v>
      </c>
    </row>
    <row r="11" spans="1:5">
      <c r="A11" s="238" t="s">
        <v>729</v>
      </c>
      <c r="B11" s="239"/>
      <c r="C11" s="240"/>
    </row>
    <row r="12" spans="1:5">
      <c r="A12" s="224" t="s">
        <v>730</v>
      </c>
      <c r="B12" s="222"/>
      <c r="C12" s="225"/>
    </row>
    <row r="13" spans="1:5">
      <c r="A13" s="224" t="s">
        <v>731</v>
      </c>
      <c r="B13" s="222"/>
      <c r="C13" s="225"/>
    </row>
    <row r="14" spans="1:5">
      <c r="A14" s="224" t="s">
        <v>732</v>
      </c>
      <c r="B14" s="222"/>
      <c r="C14" s="225"/>
    </row>
    <row r="15" spans="1:5">
      <c r="A15" s="224" t="s">
        <v>733</v>
      </c>
      <c r="B15" s="222"/>
      <c r="C15" s="225"/>
    </row>
    <row r="16" spans="1:5" ht="12.75" thickBot="1">
      <c r="A16" s="332" t="s">
        <v>734</v>
      </c>
      <c r="B16" s="276"/>
      <c r="C16" s="277"/>
    </row>
    <row r="17" spans="1:5">
      <c r="A17" s="326" t="s">
        <v>563</v>
      </c>
    </row>
    <row r="18" spans="1:5" ht="36" customHeight="1">
      <c r="A18" s="1556" t="s">
        <v>914</v>
      </c>
      <c r="B18" s="1556"/>
      <c r="C18" s="1556"/>
      <c r="D18" s="262"/>
      <c r="E18" s="262"/>
    </row>
    <row r="19" spans="1:5" ht="12.75" thickBot="1">
      <c r="A19" s="328"/>
    </row>
    <row r="20" spans="1:5" ht="45" customHeight="1" thickBot="1">
      <c r="A20" s="1443" t="s">
        <v>915</v>
      </c>
      <c r="B20" s="1444"/>
      <c r="C20" s="1445"/>
    </row>
    <row r="21" spans="1:5" ht="12.75" thickBot="1">
      <c r="A21" s="191" t="s">
        <v>916</v>
      </c>
      <c r="B21" s="522" t="str">
        <f>_ExerFin</f>
        <v xml:space="preserve"> 31/12/2025</v>
      </c>
      <c r="C21" s="523" t="str">
        <f>_ExerFin1</f>
        <v xml:space="preserve"> 31/12/2024</v>
      </c>
    </row>
    <row r="22" spans="1:5" ht="15" customHeight="1">
      <c r="A22" s="337" t="s">
        <v>735</v>
      </c>
      <c r="B22" s="338"/>
      <c r="C22" s="339"/>
    </row>
    <row r="23" spans="1:5" ht="15" customHeight="1">
      <c r="A23" s="224" t="s">
        <v>736</v>
      </c>
      <c r="B23" s="334"/>
      <c r="C23" s="335"/>
    </row>
    <row r="24" spans="1:5" ht="15" customHeight="1">
      <c r="A24" s="224" t="s">
        <v>737</v>
      </c>
      <c r="B24" s="334"/>
      <c r="C24" s="335"/>
    </row>
    <row r="25" spans="1:5" ht="15" customHeight="1">
      <c r="A25" s="224" t="s">
        <v>738</v>
      </c>
      <c r="B25" s="334"/>
      <c r="C25" s="335"/>
    </row>
    <row r="26" spans="1:5" ht="15" customHeight="1">
      <c r="A26" s="224" t="s">
        <v>739</v>
      </c>
      <c r="B26" s="334"/>
      <c r="C26" s="335"/>
    </row>
    <row r="27" spans="1:5" ht="15" customHeight="1" thickBot="1">
      <c r="A27" s="228" t="s">
        <v>740</v>
      </c>
      <c r="B27" s="340"/>
      <c r="C27" s="341"/>
    </row>
    <row r="28" spans="1:5" ht="15" customHeight="1" thickBot="1">
      <c r="A28" s="234" t="s">
        <v>741</v>
      </c>
      <c r="B28" s="342"/>
      <c r="C28" s="343"/>
    </row>
    <row r="29" spans="1:5">
      <c r="A29" s="532"/>
      <c r="B29" s="533"/>
      <c r="C29" s="534"/>
    </row>
    <row r="30" spans="1:5">
      <c r="A30" s="326" t="s">
        <v>563</v>
      </c>
    </row>
    <row r="31" spans="1:5" ht="12.75" thickBot="1">
      <c r="A31" s="327" t="s">
        <v>917</v>
      </c>
    </row>
    <row r="32" spans="1:5" ht="30" customHeight="1" thickBot="1">
      <c r="A32" s="1443" t="s">
        <v>742</v>
      </c>
      <c r="B32" s="1444"/>
      <c r="C32" s="1444"/>
      <c r="D32" s="1444"/>
      <c r="E32" s="1445"/>
    </row>
    <row r="33" spans="1:5" ht="15" customHeight="1" thickBot="1">
      <c r="A33" s="345" t="s">
        <v>416</v>
      </c>
      <c r="B33" s="1623" t="str">
        <f>_ExerFin</f>
        <v xml:space="preserve"> 31/12/2025</v>
      </c>
      <c r="C33" s="1623"/>
      <c r="D33" s="1623" t="str">
        <f>_ExerFin1</f>
        <v xml:space="preserve"> 31/12/2024</v>
      </c>
      <c r="E33" s="1624"/>
    </row>
    <row r="34" spans="1:5" ht="15" customHeight="1">
      <c r="A34" s="344" t="s">
        <v>7</v>
      </c>
      <c r="B34" s="542" t="s">
        <v>743</v>
      </c>
      <c r="C34" s="542" t="s">
        <v>744</v>
      </c>
      <c r="D34" s="542" t="s">
        <v>743</v>
      </c>
      <c r="E34" s="543" t="s">
        <v>744</v>
      </c>
    </row>
    <row r="35" spans="1:5" ht="15" customHeight="1">
      <c r="A35" s="224" t="s">
        <v>730</v>
      </c>
      <c r="B35" s="1625"/>
      <c r="C35" s="1625"/>
      <c r="D35" s="1625"/>
      <c r="E35" s="1626"/>
    </row>
    <row r="36" spans="1:5" ht="15" customHeight="1">
      <c r="A36" s="224" t="s">
        <v>745</v>
      </c>
      <c r="B36" s="1625"/>
      <c r="C36" s="1625"/>
      <c r="D36" s="1625"/>
      <c r="E36" s="1626"/>
    </row>
    <row r="37" spans="1:5" ht="15" customHeight="1">
      <c r="A37" s="224" t="s">
        <v>746</v>
      </c>
      <c r="B37" s="222"/>
      <c r="C37" s="222"/>
      <c r="D37" s="222"/>
      <c r="E37" s="225"/>
    </row>
    <row r="38" spans="1:5" ht="15" customHeight="1" thickBot="1">
      <c r="A38" s="332" t="s">
        <v>747</v>
      </c>
      <c r="B38" s="276"/>
      <c r="C38" s="276"/>
      <c r="D38" s="276"/>
      <c r="E38" s="277"/>
    </row>
    <row r="39" spans="1:5">
      <c r="A39" s="217"/>
    </row>
    <row r="40" spans="1:5">
      <c r="A40" s="217" t="s">
        <v>563</v>
      </c>
    </row>
    <row r="41" spans="1:5">
      <c r="A41" s="1487" t="s">
        <v>918</v>
      </c>
      <c r="B41" s="1487"/>
      <c r="C41" s="1487"/>
      <c r="D41" s="1487"/>
    </row>
    <row r="42" spans="1:5">
      <c r="A42" s="1487" t="s">
        <v>919</v>
      </c>
      <c r="B42" s="1487"/>
      <c r="C42" s="1487"/>
      <c r="D42" s="1487"/>
    </row>
  </sheetData>
  <mergeCells count="15">
    <mergeCell ref="B5:C5"/>
    <mergeCell ref="B6:C6"/>
    <mergeCell ref="A42:D42"/>
    <mergeCell ref="A41:D41"/>
    <mergeCell ref="A8:D8"/>
    <mergeCell ref="A7:C7"/>
    <mergeCell ref="A18:C18"/>
    <mergeCell ref="A20:C20"/>
    <mergeCell ref="A32:E32"/>
    <mergeCell ref="B33:C33"/>
    <mergeCell ref="D33:E33"/>
    <mergeCell ref="B35:B36"/>
    <mergeCell ref="C35:C36"/>
    <mergeCell ref="D35:D36"/>
    <mergeCell ref="E35:E36"/>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F34"/>
  <sheetViews>
    <sheetView showZeros="0" workbookViewId="0">
      <selection activeCell="C18" sqref="C18"/>
    </sheetView>
  </sheetViews>
  <sheetFormatPr baseColWidth="10" defaultRowHeight="12"/>
  <cols>
    <col min="1" max="1" width="44.7109375" style="87" customWidth="1"/>
    <col min="2" max="2" width="13.42578125" style="87" customWidth="1"/>
    <col min="3" max="5" width="15.7109375" style="87" customWidth="1"/>
    <col min="6" max="16384" width="11.42578125" style="87"/>
  </cols>
  <sheetData>
    <row r="5" spans="1:6" s="10" customFormat="1" ht="14.25">
      <c r="A5" s="4" t="str">
        <f>_soNom</f>
        <v>Cecotra</v>
      </c>
      <c r="C5" s="1342" t="str">
        <f>_ExerClos</f>
        <v>Exercice clos le 31/12/2025</v>
      </c>
      <c r="D5" s="1342"/>
      <c r="E5" s="1342"/>
    </row>
    <row r="6" spans="1:6" s="10" customFormat="1" ht="15" customHeight="1">
      <c r="A6" s="6" t="str">
        <f>_soId</f>
        <v> 3201810353457</v>
      </c>
      <c r="C6" s="1341" t="str">
        <f>_Duree</f>
        <v>Durée (en mois) 12</v>
      </c>
      <c r="D6" s="1341"/>
      <c r="E6" s="1341"/>
    </row>
    <row r="7" spans="1:6">
      <c r="A7" s="198"/>
      <c r="C7" s="198"/>
    </row>
    <row r="8" spans="1:6">
      <c r="A8" s="1630" t="s">
        <v>925</v>
      </c>
      <c r="B8" s="1630"/>
      <c r="C8" s="1630"/>
      <c r="D8" s="1630"/>
      <c r="E8" s="1630"/>
    </row>
    <row r="9" spans="1:6">
      <c r="A9" s="146"/>
    </row>
    <row r="10" spans="1:6" ht="12.75" thickBot="1">
      <c r="A10" s="836" t="s">
        <v>922</v>
      </c>
      <c r="B10" s="836"/>
      <c r="C10" s="836"/>
      <c r="D10" s="836"/>
      <c r="E10" s="836"/>
      <c r="F10" s="836"/>
    </row>
    <row r="11" spans="1:6" ht="15" customHeight="1" thickBot="1">
      <c r="A11" s="1627" t="s">
        <v>748</v>
      </c>
      <c r="B11" s="1628"/>
      <c r="C11" s="1629"/>
    </row>
    <row r="12" spans="1:6" ht="15" customHeight="1" thickBot="1">
      <c r="A12" s="242" t="s">
        <v>416</v>
      </c>
      <c r="B12" s="84" t="str">
        <f>_ExerFin</f>
        <v xml:space="preserve"> 31/12/2025</v>
      </c>
      <c r="C12" s="84" t="str">
        <f>_ExerFin1</f>
        <v xml:space="preserve"> 31/12/2024</v>
      </c>
    </row>
    <row r="13" spans="1:6" ht="15" customHeight="1" thickBot="1">
      <c r="A13" s="211" t="s">
        <v>749</v>
      </c>
      <c r="B13" s="1003"/>
      <c r="C13" s="1003"/>
    </row>
    <row r="14" spans="1:6" ht="15" customHeight="1" thickBot="1">
      <c r="A14" s="211" t="s">
        <v>750</v>
      </c>
      <c r="B14" s="1051"/>
      <c r="C14" s="1051"/>
    </row>
    <row r="15" spans="1:6" ht="15" customHeight="1" thickBot="1">
      <c r="A15" s="213" t="s">
        <v>751</v>
      </c>
      <c r="B15" s="1005">
        <f>+B13+B14</f>
        <v>0</v>
      </c>
      <c r="C15" s="1005">
        <f>+C13+C14</f>
        <v>0</v>
      </c>
    </row>
    <row r="16" spans="1:6">
      <c r="A16" s="217" t="s">
        <v>563</v>
      </c>
    </row>
    <row r="17" spans="1:5">
      <c r="A17" s="168" t="s">
        <v>923</v>
      </c>
    </row>
    <row r="18" spans="1:5" ht="12.75" thickBot="1">
      <c r="A18" s="173" t="s">
        <v>0</v>
      </c>
    </row>
    <row r="19" spans="1:5" ht="12.75" thickBot="1">
      <c r="A19" s="1627" t="s">
        <v>752</v>
      </c>
      <c r="B19" s="1628"/>
      <c r="C19" s="1628"/>
      <c r="D19" s="1628"/>
      <c r="E19" s="1629"/>
    </row>
    <row r="20" spans="1:5" ht="12.75" thickBot="1">
      <c r="A20" s="242" t="s">
        <v>416</v>
      </c>
      <c r="B20" s="1627" t="str">
        <f>_ExerFin</f>
        <v xml:space="preserve"> 31/12/2025</v>
      </c>
      <c r="C20" s="1629"/>
      <c r="D20" s="1627" t="str">
        <f>_ExerFin1</f>
        <v xml:space="preserve"> 31/12/2024</v>
      </c>
      <c r="E20" s="1629"/>
    </row>
    <row r="21" spans="1:5" ht="24.75" thickBot="1">
      <c r="A21" s="346" t="s">
        <v>7</v>
      </c>
      <c r="B21" s="329" t="s">
        <v>753</v>
      </c>
      <c r="C21" s="329" t="s">
        <v>754</v>
      </c>
      <c r="D21" s="329" t="s">
        <v>753</v>
      </c>
      <c r="E21" s="329" t="s">
        <v>754</v>
      </c>
    </row>
    <row r="22" spans="1:5" ht="12.75" thickBot="1">
      <c r="A22" s="211" t="s">
        <v>517</v>
      </c>
      <c r="B22" s="1003"/>
      <c r="C22" s="1003"/>
      <c r="D22" s="1003"/>
      <c r="E22" s="1003"/>
    </row>
    <row r="23" spans="1:5" ht="12.75" thickBot="1">
      <c r="A23" s="211" t="s">
        <v>518</v>
      </c>
      <c r="B23" s="1003"/>
      <c r="C23" s="1003"/>
      <c r="D23" s="1003"/>
      <c r="E23" s="1003"/>
    </row>
    <row r="24" spans="1:5" ht="12.75" thickBot="1">
      <c r="A24" s="211" t="s">
        <v>755</v>
      </c>
      <c r="B24" s="1003"/>
      <c r="C24" s="1003"/>
      <c r="D24" s="1003"/>
      <c r="E24" s="1003"/>
    </row>
    <row r="25" spans="1:5" ht="12.75" thickBot="1">
      <c r="A25" s="347" t="s">
        <v>756</v>
      </c>
      <c r="B25" s="1005">
        <f>B22+B23+B24</f>
        <v>0</v>
      </c>
      <c r="C25" s="1005">
        <f t="shared" ref="C25:E25" si="0">C22+C23+C24</f>
        <v>0</v>
      </c>
      <c r="D25" s="1005">
        <f t="shared" si="0"/>
        <v>0</v>
      </c>
      <c r="E25" s="1005">
        <f t="shared" si="0"/>
        <v>0</v>
      </c>
    </row>
    <row r="26" spans="1:5">
      <c r="A26" s="217"/>
    </row>
    <row r="27" spans="1:5">
      <c r="A27" s="217" t="s">
        <v>617</v>
      </c>
    </row>
    <row r="28" spans="1:5">
      <c r="A28" s="168" t="s">
        <v>927</v>
      </c>
      <c r="B28" s="173"/>
    </row>
    <row r="29" spans="1:5">
      <c r="A29" s="168" t="s">
        <v>926</v>
      </c>
      <c r="B29" s="173"/>
    </row>
    <row r="30" spans="1:5">
      <c r="A30" s="168" t="s">
        <v>924</v>
      </c>
    </row>
    <row r="31" spans="1:5">
      <c r="A31" s="259" t="s">
        <v>0</v>
      </c>
    </row>
    <row r="32" spans="1:5">
      <c r="A32" s="259" t="s">
        <v>0</v>
      </c>
    </row>
    <row r="33" spans="1:1">
      <c r="A33" s="259"/>
    </row>
    <row r="34" spans="1:1">
      <c r="A34" s="259"/>
    </row>
  </sheetData>
  <mergeCells count="7">
    <mergeCell ref="C5:E5"/>
    <mergeCell ref="C6:E6"/>
    <mergeCell ref="A11:C11"/>
    <mergeCell ref="A19:E19"/>
    <mergeCell ref="B20:C20"/>
    <mergeCell ref="D20:E20"/>
    <mergeCell ref="A8:E8"/>
  </mergeCells>
  <pageMargins left="0.42" right="0.34" top="0.74803149606299213" bottom="0.74803149606299213" header="0.31496062992125984" footer="0.31496062992125984"/>
  <pageSetup paperSize="9" scale="90"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D26"/>
  <sheetViews>
    <sheetView workbookViewId="0">
      <selection activeCell="A12" sqref="A12:XFD21"/>
    </sheetView>
  </sheetViews>
  <sheetFormatPr baseColWidth="10" defaultRowHeight="12"/>
  <cols>
    <col min="1" max="1" width="56.7109375" style="10" customWidth="1"/>
    <col min="2" max="2" width="13.42578125" style="10" customWidth="1"/>
    <col min="3" max="16384" width="11.42578125" style="10"/>
  </cols>
  <sheetData>
    <row r="6" spans="1:3" ht="15" customHeight="1">
      <c r="A6" s="4" t="str">
        <f>_soNom</f>
        <v>Cecotra</v>
      </c>
      <c r="B6" s="1339" t="str">
        <f>_ExerClos</f>
        <v>Exercice clos le 31/12/2025</v>
      </c>
      <c r="C6" s="1339"/>
    </row>
    <row r="7" spans="1:3" ht="15" customHeight="1">
      <c r="A7" s="6" t="str">
        <f>_soId</f>
        <v> 3201810353457</v>
      </c>
      <c r="B7" s="1341" t="str">
        <f>_Duree</f>
        <v>Durée (en mois) 12</v>
      </c>
      <c r="C7" s="1341"/>
    </row>
    <row r="8" spans="1:3">
      <c r="A8" s="206"/>
      <c r="C8" s="206"/>
    </row>
    <row r="9" spans="1:3">
      <c r="A9" s="1"/>
    </row>
    <row r="10" spans="1:3" ht="15">
      <c r="A10" s="1460" t="s">
        <v>929</v>
      </c>
      <c r="B10" s="1460"/>
      <c r="C10" s="1460"/>
    </row>
    <row r="11" spans="1:3" ht="15.75" thickBot="1">
      <c r="A11" s="1461" t="s">
        <v>930</v>
      </c>
      <c r="B11" s="1461"/>
      <c r="C11" s="1461"/>
    </row>
    <row r="12" spans="1:3" ht="15" customHeight="1" thickBot="1">
      <c r="A12" s="348" t="s">
        <v>610</v>
      </c>
      <c r="B12" s="192" t="str">
        <f>_ExerFin</f>
        <v xml:space="preserve"> 31/12/2025</v>
      </c>
      <c r="C12" s="193" t="str">
        <f>_ExerFin1</f>
        <v xml:space="preserve"> 31/12/2024</v>
      </c>
    </row>
    <row r="13" spans="1:3" ht="15" customHeight="1" thickBot="1">
      <c r="A13" s="234" t="s">
        <v>757</v>
      </c>
      <c r="B13" s="235"/>
      <c r="C13" s="236"/>
    </row>
    <row r="14" spans="1:3" ht="15" customHeight="1">
      <c r="A14" s="231" t="s">
        <v>758</v>
      </c>
      <c r="B14" s="232"/>
      <c r="C14" s="233"/>
    </row>
    <row r="15" spans="1:3" ht="15" customHeight="1">
      <c r="A15" s="224" t="s">
        <v>759</v>
      </c>
      <c r="B15" s="222"/>
      <c r="C15" s="225"/>
    </row>
    <row r="16" spans="1:3" ht="15" customHeight="1" thickBot="1">
      <c r="A16" s="228" t="s">
        <v>759</v>
      </c>
      <c r="B16" s="229"/>
      <c r="C16" s="230"/>
    </row>
    <row r="17" spans="1:4" ht="15" customHeight="1" thickBot="1">
      <c r="A17" s="234" t="s">
        <v>760</v>
      </c>
      <c r="B17" s="235"/>
      <c r="C17" s="236"/>
    </row>
    <row r="18" spans="1:4" ht="15" customHeight="1">
      <c r="A18" s="231" t="s">
        <v>758</v>
      </c>
      <c r="B18" s="232"/>
      <c r="C18" s="233"/>
    </row>
    <row r="19" spans="1:4" ht="15" customHeight="1">
      <c r="A19" s="224" t="s">
        <v>759</v>
      </c>
      <c r="B19" s="222"/>
      <c r="C19" s="225"/>
    </row>
    <row r="20" spans="1:4" ht="15" customHeight="1" thickBot="1">
      <c r="A20" s="332" t="s">
        <v>759</v>
      </c>
      <c r="B20" s="276"/>
      <c r="C20" s="277"/>
    </row>
    <row r="21" spans="1:4" ht="15" customHeight="1">
      <c r="A21" s="167" t="s">
        <v>564</v>
      </c>
    </row>
    <row r="22" spans="1:4" ht="48" customHeight="1">
      <c r="A22" s="1556" t="s">
        <v>928</v>
      </c>
      <c r="B22" s="1556"/>
      <c r="C22" s="1556"/>
      <c r="D22" s="262"/>
    </row>
    <row r="23" spans="1:4">
      <c r="A23" s="217" t="s">
        <v>0</v>
      </c>
    </row>
    <row r="24" spans="1:4">
      <c r="A24" s="217" t="s">
        <v>0</v>
      </c>
    </row>
    <row r="25" spans="1:4">
      <c r="A25" s="217" t="s">
        <v>0</v>
      </c>
    </row>
    <row r="26" spans="1:4">
      <c r="A26" s="217" t="s">
        <v>0</v>
      </c>
    </row>
  </sheetData>
  <mergeCells count="5">
    <mergeCell ref="A10:C10"/>
    <mergeCell ref="A11:C11"/>
    <mergeCell ref="A22:C22"/>
    <mergeCell ref="B6:C6"/>
    <mergeCell ref="B7:C7"/>
  </mergeCell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showZeros="0" workbookViewId="0">
      <selection activeCell="F10" sqref="F10"/>
    </sheetView>
  </sheetViews>
  <sheetFormatPr baseColWidth="10" defaultRowHeight="12"/>
  <cols>
    <col min="1" max="1" width="43.7109375" style="10" customWidth="1"/>
    <col min="2" max="3" width="15.7109375" style="10" customWidth="1"/>
    <col min="4" max="4" width="9" style="10" customWidth="1"/>
    <col min="5" max="5" width="15.7109375" style="10" customWidth="1"/>
    <col min="6" max="6" width="13.85546875" style="10" customWidth="1"/>
    <col min="7" max="7" width="13.42578125" style="10" customWidth="1"/>
    <col min="8" max="16384" width="11.42578125" style="10"/>
  </cols>
  <sheetData>
    <row r="1" spans="1:7">
      <c r="A1" s="217"/>
    </row>
    <row r="4" spans="1:7" ht="14.25">
      <c r="A4" s="4" t="str">
        <f>_soNom</f>
        <v>Cecotra</v>
      </c>
      <c r="D4" s="1342" t="str">
        <f>_ExerClos</f>
        <v>Exercice clos le 31/12/2025</v>
      </c>
      <c r="E4" s="1342"/>
      <c r="F4" s="1342"/>
    </row>
    <row r="5" spans="1:7" ht="15" customHeight="1">
      <c r="A5" s="6" t="str">
        <f>_soId</f>
        <v> 3201810353457</v>
      </c>
      <c r="D5" s="1341" t="str">
        <f>_Duree</f>
        <v>Durée (en mois) 12</v>
      </c>
      <c r="E5" s="1341"/>
      <c r="F5" s="1341"/>
    </row>
    <row r="6" spans="1:7">
      <c r="A6" s="206"/>
      <c r="C6" s="206"/>
    </row>
    <row r="7" spans="1:7">
      <c r="A7" s="1632" t="s">
        <v>931</v>
      </c>
      <c r="B7" s="1632"/>
      <c r="C7" s="1632"/>
      <c r="D7" s="1632"/>
      <c r="E7" s="1632"/>
      <c r="F7" s="1632"/>
      <c r="G7" s="1632"/>
    </row>
    <row r="8" spans="1:7" ht="12.75" thickBot="1">
      <c r="A8" s="1631" t="s">
        <v>774</v>
      </c>
      <c r="B8" s="1631"/>
      <c r="C8" s="1631"/>
      <c r="D8" s="1631"/>
      <c r="E8" s="1631"/>
      <c r="F8" s="1631"/>
      <c r="G8" s="1631"/>
    </row>
    <row r="9" spans="1:7" ht="51.75" customHeight="1" thickBot="1">
      <c r="A9" s="810" t="s">
        <v>416</v>
      </c>
      <c r="B9" s="811" t="str">
        <f>_ExerFin</f>
        <v xml:space="preserve"> 31/12/2025</v>
      </c>
      <c r="C9" s="811" t="str">
        <f>_ExerFin1</f>
        <v xml:space="preserve"> 31/12/2024</v>
      </c>
      <c r="D9" s="811" t="s">
        <v>761</v>
      </c>
      <c r="E9" s="811" t="s">
        <v>762</v>
      </c>
      <c r="F9" s="811" t="s">
        <v>1505</v>
      </c>
      <c r="G9" s="544" t="s">
        <v>765</v>
      </c>
    </row>
    <row r="10" spans="1:7" ht="15" customHeight="1">
      <c r="A10" s="815" t="s">
        <v>1652</v>
      </c>
      <c r="B10" s="924">
        <v>0</v>
      </c>
      <c r="C10" s="924">
        <v>0</v>
      </c>
      <c r="D10" s="998">
        <f>IF(C10=0,0,(B10-C10)/C10)*100</f>
        <v>0</v>
      </c>
      <c r="E10" s="924">
        <f>B10</f>
        <v>0</v>
      </c>
      <c r="F10" s="924"/>
      <c r="G10" s="925">
        <v>0</v>
      </c>
    </row>
    <row r="11" spans="1:7" ht="15" customHeight="1">
      <c r="A11" s="814" t="s">
        <v>1653</v>
      </c>
      <c r="B11" s="928">
        <v>0</v>
      </c>
      <c r="C11" s="928">
        <v>0</v>
      </c>
      <c r="D11" s="998">
        <f t="shared" ref="D11:D20" si="0">IF(C11=0,0,(B11-C11)/C11)*100</f>
        <v>0</v>
      </c>
      <c r="E11" s="928"/>
      <c r="F11" s="928"/>
      <c r="G11" s="929"/>
    </row>
    <row r="12" spans="1:7">
      <c r="A12" s="814" t="s">
        <v>766</v>
      </c>
      <c r="B12" s="928">
        <v>0</v>
      </c>
      <c r="C12" s="928">
        <v>0</v>
      </c>
      <c r="D12" s="998">
        <f t="shared" si="0"/>
        <v>0</v>
      </c>
      <c r="E12" s="928"/>
      <c r="F12" s="928"/>
      <c r="G12" s="929"/>
    </row>
    <row r="13" spans="1:7">
      <c r="A13" s="814" t="s">
        <v>767</v>
      </c>
      <c r="B13" s="928">
        <v>0</v>
      </c>
      <c r="C13" s="928">
        <v>0</v>
      </c>
      <c r="D13" s="998">
        <f t="shared" si="0"/>
        <v>0</v>
      </c>
      <c r="E13" s="928"/>
      <c r="F13" s="928"/>
      <c r="G13" s="929"/>
    </row>
    <row r="14" spans="1:7" ht="12.75" thickBot="1">
      <c r="A14" s="228" t="s">
        <v>768</v>
      </c>
      <c r="B14" s="932">
        <v>0</v>
      </c>
      <c r="C14" s="932">
        <v>0</v>
      </c>
      <c r="D14" s="998">
        <f t="shared" si="0"/>
        <v>0</v>
      </c>
      <c r="E14" s="932"/>
      <c r="F14" s="932"/>
      <c r="G14" s="933"/>
    </row>
    <row r="15" spans="1:7" ht="15" customHeight="1" thickBot="1">
      <c r="A15" s="237" t="s">
        <v>769</v>
      </c>
      <c r="B15" s="997">
        <f>SUM(B10:B14)</f>
        <v>0</v>
      </c>
      <c r="C15" s="997">
        <f t="shared" ref="C15:G15" si="1">SUM(C10:C14)</f>
        <v>0</v>
      </c>
      <c r="D15" s="997">
        <f t="shared" si="0"/>
        <v>0</v>
      </c>
      <c r="E15" s="997">
        <f t="shared" si="1"/>
        <v>0</v>
      </c>
      <c r="F15" s="997">
        <f t="shared" si="1"/>
        <v>0</v>
      </c>
      <c r="G15" s="1052">
        <f t="shared" si="1"/>
        <v>0</v>
      </c>
    </row>
    <row r="16" spans="1:7" ht="15" customHeight="1">
      <c r="A16" s="238" t="s">
        <v>7</v>
      </c>
      <c r="B16" s="924"/>
      <c r="C16" s="924"/>
      <c r="D16" s="998"/>
      <c r="E16" s="924"/>
      <c r="F16" s="924"/>
      <c r="G16" s="925"/>
    </row>
    <row r="17" spans="1:7" ht="15" customHeight="1">
      <c r="A17" s="814" t="s">
        <v>770</v>
      </c>
      <c r="B17" s="928">
        <v>0</v>
      </c>
      <c r="C17" s="928">
        <v>0</v>
      </c>
      <c r="D17" s="998">
        <f t="shared" si="0"/>
        <v>0</v>
      </c>
      <c r="E17" s="928"/>
      <c r="F17" s="928"/>
      <c r="G17" s="929"/>
    </row>
    <row r="18" spans="1:7">
      <c r="A18" s="814" t="s">
        <v>771</v>
      </c>
      <c r="B18" s="928">
        <v>0</v>
      </c>
      <c r="C18" s="928">
        <v>0</v>
      </c>
      <c r="D18" s="998">
        <f t="shared" si="0"/>
        <v>0</v>
      </c>
      <c r="E18" s="928"/>
      <c r="F18" s="928"/>
      <c r="G18" s="929"/>
    </row>
    <row r="19" spans="1:7" ht="15" customHeight="1" thickBot="1">
      <c r="A19" s="228" t="s">
        <v>772</v>
      </c>
      <c r="B19" s="932">
        <v>0</v>
      </c>
      <c r="C19" s="932">
        <v>0</v>
      </c>
      <c r="D19" s="998">
        <f t="shared" si="0"/>
        <v>0</v>
      </c>
      <c r="E19" s="932"/>
      <c r="F19" s="932"/>
      <c r="G19" s="933"/>
    </row>
    <row r="20" spans="1:7" ht="15" customHeight="1" thickBot="1">
      <c r="A20" s="237" t="s">
        <v>773</v>
      </c>
      <c r="B20" s="920">
        <f>SUM(B17:B19)</f>
        <v>0</v>
      </c>
      <c r="C20" s="920">
        <f>SUM(C17:C19)</f>
        <v>0</v>
      </c>
      <c r="D20" s="997">
        <f t="shared" si="0"/>
        <v>0</v>
      </c>
      <c r="E20" s="920">
        <f>SUM(E17:E19)</f>
        <v>0</v>
      </c>
      <c r="F20" s="920">
        <f t="shared" ref="F20:G20" si="2">SUM(F17:F19)</f>
        <v>0</v>
      </c>
      <c r="G20" s="920">
        <f t="shared" si="2"/>
        <v>0</v>
      </c>
    </row>
    <row r="21" spans="1:7">
      <c r="A21" s="167" t="s">
        <v>612</v>
      </c>
    </row>
    <row r="22" spans="1:7">
      <c r="A22" s="174"/>
    </row>
    <row r="23" spans="1:7">
      <c r="A23" s="217" t="s">
        <v>0</v>
      </c>
    </row>
  </sheetData>
  <mergeCells count="4">
    <mergeCell ref="A8:G8"/>
    <mergeCell ref="A7:G7"/>
    <mergeCell ref="D4:F4"/>
    <mergeCell ref="D5:F5"/>
  </mergeCells>
  <pageMargins left="0.7" right="0.7" top="0.75" bottom="0.75" header="0.3" footer="0.3"/>
  <pageSetup paperSize="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
  <sheetViews>
    <sheetView showZeros="0" workbookViewId="0">
      <selection activeCell="G19" sqref="G19"/>
    </sheetView>
  </sheetViews>
  <sheetFormatPr baseColWidth="10" defaultRowHeight="15"/>
  <cols>
    <col min="1" max="1" width="45.5703125" customWidth="1"/>
    <col min="2" max="3" width="15.7109375" customWidth="1"/>
    <col min="4" max="4" width="13.5703125" customWidth="1"/>
    <col min="5" max="5" width="8" customWidth="1"/>
    <col min="6" max="8" width="15.7109375" customWidth="1"/>
  </cols>
  <sheetData>
    <row r="1" spans="1:8" ht="15.75">
      <c r="A1" s="83"/>
    </row>
    <row r="2" spans="1:8">
      <c r="A2" s="78"/>
    </row>
    <row r="3" spans="1:8" ht="15.75">
      <c r="A3" s="83"/>
    </row>
    <row r="4" spans="1:8" s="10" customFormat="1" ht="14.25">
      <c r="A4" s="4" t="str">
        <f>_soNom</f>
        <v>Cecotra</v>
      </c>
      <c r="F4" s="1342" t="str">
        <f>_ExerClos</f>
        <v>Exercice clos le 31/12/2025</v>
      </c>
      <c r="G4" s="1342"/>
      <c r="H4" s="1342"/>
    </row>
    <row r="5" spans="1:8" s="10" customFormat="1" ht="15" customHeight="1">
      <c r="A5" s="6" t="str">
        <f>_soId</f>
        <v> 3201810353457</v>
      </c>
      <c r="F5" s="1341" t="str">
        <f>_Duree</f>
        <v>Durée (en mois) 12</v>
      </c>
      <c r="G5" s="1341"/>
      <c r="H5" s="1341"/>
    </row>
    <row r="6" spans="1:8" s="10" customFormat="1" ht="12">
      <c r="A6" s="206"/>
      <c r="C6" s="206"/>
      <c r="D6" s="206"/>
    </row>
    <row r="7" spans="1:8" s="10" customFormat="1">
      <c r="A7" s="1610" t="s">
        <v>1396</v>
      </c>
      <c r="B7" s="1610"/>
      <c r="C7" s="1610"/>
      <c r="D7" s="1610"/>
      <c r="E7" s="1610"/>
      <c r="F7" s="1610"/>
      <c r="G7" s="1610"/>
      <c r="H7" s="1610"/>
    </row>
    <row r="8" spans="1:8" s="10" customFormat="1" ht="15.75" thickBot="1">
      <c r="A8" s="1633" t="s">
        <v>1397</v>
      </c>
      <c r="B8" s="1633"/>
      <c r="C8" s="1633"/>
      <c r="D8" s="1633"/>
      <c r="E8" s="1633"/>
      <c r="F8" s="1633"/>
      <c r="G8" s="1633"/>
      <c r="H8" s="1633"/>
    </row>
    <row r="9" spans="1:8" s="10" customFormat="1" ht="12">
      <c r="A9" s="1432" t="s">
        <v>416</v>
      </c>
      <c r="B9" s="1433" t="str">
        <f>_ExerFin</f>
        <v xml:space="preserve"> 31/12/2025</v>
      </c>
      <c r="C9" s="1433" t="str">
        <f>_ExerFin1</f>
        <v xml:space="preserve"> 31/12/2024</v>
      </c>
      <c r="D9" s="1433" t="s">
        <v>878</v>
      </c>
      <c r="E9" s="1433" t="s">
        <v>761</v>
      </c>
      <c r="F9" s="1568" t="s">
        <v>762</v>
      </c>
      <c r="G9" s="818" t="s">
        <v>763</v>
      </c>
      <c r="H9" s="1634" t="s">
        <v>765</v>
      </c>
    </row>
    <row r="10" spans="1:8" s="10" customFormat="1" ht="24.75" thickBot="1">
      <c r="A10" s="1533"/>
      <c r="B10" s="1534"/>
      <c r="C10" s="1534"/>
      <c r="D10" s="1534"/>
      <c r="E10" s="1534"/>
      <c r="F10" s="1570"/>
      <c r="G10" s="819" t="s">
        <v>764</v>
      </c>
      <c r="H10" s="1635"/>
    </row>
    <row r="11" spans="1:8" s="10" customFormat="1" ht="20.100000000000001" customHeight="1">
      <c r="A11" s="815" t="s">
        <v>1398</v>
      </c>
      <c r="B11" s="879">
        <v>0</v>
      </c>
      <c r="C11" s="879">
        <v>0</v>
      </c>
      <c r="D11" s="1165">
        <f>B11-C11</f>
        <v>0</v>
      </c>
      <c r="E11" s="471">
        <f>IF(C11=0,0,(B11-C11)/C11)*100</f>
        <v>0</v>
      </c>
      <c r="F11" s="474">
        <f t="shared" ref="F11:F16" si="0">B11</f>
        <v>0</v>
      </c>
      <c r="G11" s="471" t="s">
        <v>7</v>
      </c>
      <c r="H11" s="472" t="s">
        <v>7</v>
      </c>
    </row>
    <row r="12" spans="1:8" s="10" customFormat="1" ht="20.100000000000001" customHeight="1">
      <c r="A12" s="814" t="s">
        <v>1399</v>
      </c>
      <c r="B12" s="880">
        <v>0</v>
      </c>
      <c r="C12" s="880">
        <v>0</v>
      </c>
      <c r="D12" s="1165">
        <f t="shared" ref="D12:D17" si="1">B12-C12</f>
        <v>0</v>
      </c>
      <c r="E12" s="471">
        <f t="shared" ref="E12:E26" si="2">IF(C12=0,0,(B12-C12)/C12)*100</f>
        <v>0</v>
      </c>
      <c r="F12" s="474">
        <f t="shared" si="0"/>
        <v>0</v>
      </c>
      <c r="G12" s="474" t="s">
        <v>7</v>
      </c>
      <c r="H12" s="475" t="s">
        <v>7</v>
      </c>
    </row>
    <row r="13" spans="1:8" s="10" customFormat="1" ht="20.100000000000001" customHeight="1">
      <c r="A13" s="814" t="s">
        <v>1400</v>
      </c>
      <c r="B13" s="880">
        <v>0</v>
      </c>
      <c r="C13" s="880">
        <v>0</v>
      </c>
      <c r="D13" s="1165">
        <f t="shared" si="1"/>
        <v>0</v>
      </c>
      <c r="E13" s="471">
        <f t="shared" si="2"/>
        <v>0</v>
      </c>
      <c r="F13" s="474">
        <f t="shared" si="0"/>
        <v>0</v>
      </c>
      <c r="G13" s="474" t="s">
        <v>0</v>
      </c>
      <c r="H13" s="475" t="s">
        <v>0</v>
      </c>
    </row>
    <row r="14" spans="1:8" s="10" customFormat="1" ht="20.100000000000001" customHeight="1">
      <c r="A14" s="814" t="s">
        <v>1401</v>
      </c>
      <c r="B14" s="880">
        <v>0</v>
      </c>
      <c r="C14" s="880">
        <v>0</v>
      </c>
      <c r="D14" s="1165">
        <f t="shared" si="1"/>
        <v>0</v>
      </c>
      <c r="E14" s="471">
        <f t="shared" si="2"/>
        <v>0</v>
      </c>
      <c r="F14" s="474">
        <f t="shared" si="0"/>
        <v>0</v>
      </c>
      <c r="G14" s="474"/>
      <c r="H14" s="475">
        <v>0</v>
      </c>
    </row>
    <row r="15" spans="1:8" s="10" customFormat="1" ht="20.100000000000001" customHeight="1">
      <c r="A15" s="814" t="s">
        <v>1402</v>
      </c>
      <c r="B15" s="880">
        <v>0</v>
      </c>
      <c r="C15" s="880">
        <v>0</v>
      </c>
      <c r="D15" s="1165">
        <f t="shared" si="1"/>
        <v>0</v>
      </c>
      <c r="E15" s="471">
        <f t="shared" si="2"/>
        <v>0</v>
      </c>
      <c r="F15" s="474">
        <f t="shared" si="0"/>
        <v>0</v>
      </c>
      <c r="G15" s="474" t="s">
        <v>7</v>
      </c>
      <c r="H15" s="475" t="s">
        <v>7</v>
      </c>
    </row>
    <row r="16" spans="1:8" s="10" customFormat="1" ht="20.100000000000001" customHeight="1" thickBot="1">
      <c r="A16" s="228" t="s">
        <v>1403</v>
      </c>
      <c r="B16" s="881">
        <v>0</v>
      </c>
      <c r="C16" s="881">
        <v>0</v>
      </c>
      <c r="D16" s="1165">
        <f t="shared" si="1"/>
        <v>0</v>
      </c>
      <c r="E16" s="471">
        <f t="shared" si="2"/>
        <v>0</v>
      </c>
      <c r="F16" s="474">
        <f t="shared" si="0"/>
        <v>0</v>
      </c>
      <c r="G16" s="476"/>
      <c r="H16" s="477"/>
    </row>
    <row r="17" spans="1:8" s="10" customFormat="1" ht="20.100000000000001" customHeight="1" thickBot="1">
      <c r="A17" s="237" t="s">
        <v>1404</v>
      </c>
      <c r="B17" s="483">
        <f>SUM(B11:B16)</f>
        <v>0</v>
      </c>
      <c r="C17" s="483">
        <f t="shared" ref="C17:H17" si="3">SUM(C11:C16)</f>
        <v>0</v>
      </c>
      <c r="D17" s="483">
        <f t="shared" si="1"/>
        <v>0</v>
      </c>
      <c r="E17" s="483">
        <f t="shared" si="2"/>
        <v>0</v>
      </c>
      <c r="F17" s="483">
        <f t="shared" si="3"/>
        <v>0</v>
      </c>
      <c r="G17" s="483">
        <f t="shared" si="3"/>
        <v>0</v>
      </c>
      <c r="H17" s="832">
        <f t="shared" si="3"/>
        <v>0</v>
      </c>
    </row>
    <row r="18" spans="1:8" s="10" customFormat="1" ht="20.100000000000001" customHeight="1">
      <c r="A18" s="238" t="s">
        <v>7</v>
      </c>
      <c r="B18" s="471" t="s">
        <v>7</v>
      </c>
      <c r="C18" s="471" t="s">
        <v>7</v>
      </c>
      <c r="D18" s="471"/>
      <c r="E18" s="471"/>
      <c r="F18" s="471" t="s">
        <v>7</v>
      </c>
      <c r="G18" s="471" t="s">
        <v>7</v>
      </c>
      <c r="H18" s="472" t="s">
        <v>7</v>
      </c>
    </row>
    <row r="19" spans="1:8" s="10" customFormat="1" ht="20.100000000000001" customHeight="1">
      <c r="A19" s="814" t="s">
        <v>1405</v>
      </c>
      <c r="B19" s="474">
        <v>6861600</v>
      </c>
      <c r="C19" s="474">
        <v>0</v>
      </c>
      <c r="D19" s="474">
        <f>B19-C19</f>
        <v>6861600</v>
      </c>
      <c r="E19" s="471">
        <f t="shared" si="2"/>
        <v>0</v>
      </c>
      <c r="F19" s="474">
        <f>B19</f>
        <v>6861600</v>
      </c>
      <c r="G19" s="474"/>
      <c r="H19" s="475">
        <v>0</v>
      </c>
    </row>
    <row r="20" spans="1:8" s="10" customFormat="1" ht="20.100000000000001" customHeight="1">
      <c r="A20" s="814" t="s">
        <v>1406</v>
      </c>
      <c r="B20" s="474">
        <v>0</v>
      </c>
      <c r="C20" s="474">
        <v>0</v>
      </c>
      <c r="D20" s="474">
        <f t="shared" ref="D20:D23" si="4">B20-C20</f>
        <v>0</v>
      </c>
      <c r="E20" s="471">
        <f t="shared" si="2"/>
        <v>0</v>
      </c>
      <c r="F20" s="474">
        <f t="shared" ref="F20:F23" si="5">B20</f>
        <v>0</v>
      </c>
      <c r="G20" s="474"/>
      <c r="H20" s="475">
        <v>0</v>
      </c>
    </row>
    <row r="21" spans="1:8" s="10" customFormat="1" ht="20.100000000000001" customHeight="1">
      <c r="A21" s="814" t="s">
        <v>1407</v>
      </c>
      <c r="B21" s="474">
        <v>1100590</v>
      </c>
      <c r="C21" s="474">
        <v>0</v>
      </c>
      <c r="D21" s="474">
        <f t="shared" si="4"/>
        <v>1100590</v>
      </c>
      <c r="E21" s="471">
        <f t="shared" si="2"/>
        <v>0</v>
      </c>
      <c r="F21" s="474">
        <f t="shared" si="5"/>
        <v>1100590</v>
      </c>
      <c r="G21" s="474" t="s">
        <v>7</v>
      </c>
      <c r="H21" s="475" t="s">
        <v>7</v>
      </c>
    </row>
    <row r="22" spans="1:8" s="10" customFormat="1" ht="20.100000000000001" customHeight="1">
      <c r="A22" s="814" t="s">
        <v>1408</v>
      </c>
      <c r="B22" s="474">
        <v>0</v>
      </c>
      <c r="C22" s="474">
        <v>0</v>
      </c>
      <c r="D22" s="474">
        <f t="shared" si="4"/>
        <v>0</v>
      </c>
      <c r="E22" s="471">
        <f t="shared" si="2"/>
        <v>0</v>
      </c>
      <c r="F22" s="474">
        <f t="shared" si="5"/>
        <v>0</v>
      </c>
      <c r="G22" s="474"/>
      <c r="H22" s="475"/>
    </row>
    <row r="23" spans="1:8" s="10" customFormat="1" ht="20.100000000000001" customHeight="1" thickBot="1">
      <c r="A23" s="228" t="s">
        <v>1409</v>
      </c>
      <c r="B23" s="476">
        <v>0</v>
      </c>
      <c r="C23" s="476">
        <v>0</v>
      </c>
      <c r="D23" s="474">
        <f t="shared" si="4"/>
        <v>0</v>
      </c>
      <c r="E23" s="471">
        <f t="shared" si="2"/>
        <v>0</v>
      </c>
      <c r="F23" s="474">
        <f t="shared" si="5"/>
        <v>0</v>
      </c>
      <c r="G23" s="476"/>
      <c r="H23" s="477"/>
    </row>
    <row r="24" spans="1:8" s="10" customFormat="1" ht="20.100000000000001" customHeight="1" thickBot="1">
      <c r="A24" s="237" t="s">
        <v>1410</v>
      </c>
      <c r="B24" s="483">
        <f>SUM(B18:B23)</f>
        <v>7962190</v>
      </c>
      <c r="C24" s="483">
        <f t="shared" ref="C24:H24" si="6">SUM(C18:C23)</f>
        <v>0</v>
      </c>
      <c r="D24" s="483">
        <f>B24-C24</f>
        <v>7962190</v>
      </c>
      <c r="E24" s="483">
        <f t="shared" si="2"/>
        <v>0</v>
      </c>
      <c r="F24" s="483">
        <f t="shared" si="6"/>
        <v>7962190</v>
      </c>
      <c r="G24" s="483">
        <f t="shared" si="6"/>
        <v>0</v>
      </c>
      <c r="H24" s="832">
        <f t="shared" si="6"/>
        <v>0</v>
      </c>
    </row>
    <row r="25" spans="1:8" s="10" customFormat="1" ht="12.75" customHeight="1" thickBot="1">
      <c r="A25" s="520"/>
      <c r="B25" s="837"/>
      <c r="C25" s="837"/>
      <c r="D25" s="837"/>
      <c r="E25" s="471">
        <f t="shared" si="2"/>
        <v>0</v>
      </c>
      <c r="F25" s="837"/>
      <c r="G25" s="837"/>
      <c r="H25" s="838"/>
    </row>
    <row r="26" spans="1:8" ht="20.100000000000001" customHeight="1" thickBot="1">
      <c r="A26" s="521" t="s">
        <v>1411</v>
      </c>
      <c r="B26" s="839">
        <f>B17+B24</f>
        <v>7962190</v>
      </c>
      <c r="C26" s="839">
        <f t="shared" ref="C26:H26" si="7">C17+C24</f>
        <v>0</v>
      </c>
      <c r="D26" s="839">
        <f>B26-C26</f>
        <v>7962190</v>
      </c>
      <c r="E26" s="839">
        <f t="shared" si="2"/>
        <v>0</v>
      </c>
      <c r="F26" s="839">
        <f t="shared" si="7"/>
        <v>7962190</v>
      </c>
      <c r="G26" s="839">
        <f t="shared" si="7"/>
        <v>0</v>
      </c>
      <c r="H26" s="842">
        <f t="shared" si="7"/>
        <v>0</v>
      </c>
    </row>
    <row r="27" spans="1:8" ht="18">
      <c r="A27" s="311"/>
    </row>
    <row r="28" spans="1:8" s="10" customFormat="1" ht="12">
      <c r="A28" s="167" t="s">
        <v>612</v>
      </c>
    </row>
    <row r="29" spans="1:8" s="10" customFormat="1" ht="12">
      <c r="A29" s="172" t="s">
        <v>944</v>
      </c>
    </row>
    <row r="30" spans="1:8" s="10" customFormat="1" ht="12">
      <c r="A30" s="172" t="s">
        <v>1412</v>
      </c>
    </row>
    <row r="31" spans="1:8" s="10" customFormat="1" ht="12">
      <c r="A31" s="168"/>
    </row>
    <row r="32" spans="1:8" s="10" customFormat="1" ht="12">
      <c r="A32" s="217" t="s">
        <v>0</v>
      </c>
    </row>
    <row r="33" spans="1:4" s="10" customFormat="1" ht="12">
      <c r="A33" s="217" t="s">
        <v>0</v>
      </c>
    </row>
    <row r="34" spans="1:4" s="10" customFormat="1" ht="12"/>
    <row r="35" spans="1:4" ht="18">
      <c r="A35" s="311"/>
    </row>
    <row r="36" spans="1:4" ht="18">
      <c r="A36" s="311"/>
    </row>
    <row r="37" spans="1:4" ht="18">
      <c r="A37" s="311"/>
    </row>
    <row r="39" spans="1:4">
      <c r="A39" s="309"/>
    </row>
    <row r="40" spans="1:4">
      <c r="A40" s="309"/>
    </row>
    <row r="41" spans="1:4">
      <c r="A41" s="312"/>
      <c r="B41" s="313"/>
      <c r="C41" s="313"/>
      <c r="D41" s="313"/>
    </row>
    <row r="42" spans="1:4">
      <c r="A42" s="469"/>
    </row>
    <row r="43" spans="1:4">
      <c r="A43" s="314"/>
    </row>
    <row r="44" spans="1:4">
      <c r="A44" s="314"/>
    </row>
    <row r="45" spans="1:4" ht="15.75">
      <c r="A45" s="83"/>
    </row>
    <row r="46" spans="1:4" ht="15.75">
      <c r="A46" s="83"/>
    </row>
    <row r="47" spans="1:4" ht="15.75">
      <c r="A47" s="83"/>
    </row>
    <row r="48" spans="1:4" ht="15.75">
      <c r="A48" s="83"/>
    </row>
    <row r="49" spans="1:1" ht="15.75">
      <c r="A49" s="83"/>
    </row>
  </sheetData>
  <mergeCells count="11">
    <mergeCell ref="F4:H4"/>
    <mergeCell ref="F5:H5"/>
    <mergeCell ref="A7:H7"/>
    <mergeCell ref="A8:H8"/>
    <mergeCell ref="A9:A10"/>
    <mergeCell ref="B9:B10"/>
    <mergeCell ref="C9:C10"/>
    <mergeCell ref="D9:D10"/>
    <mergeCell ref="E9:E10"/>
    <mergeCell ref="F9:F10"/>
    <mergeCell ref="H9:H10"/>
  </mergeCells>
  <pageMargins left="0.70866141732283472" right="0.70866141732283472" top="0.74803149606299213" bottom="0.74803149606299213" header="0.31496062992125984" footer="0.31496062992125984"/>
  <pageSetup paperSize="9" scale="8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showZeros="0" topLeftCell="A6" workbookViewId="0">
      <selection activeCell="A20" sqref="A20"/>
    </sheetView>
  </sheetViews>
  <sheetFormatPr baseColWidth="10" defaultRowHeight="12"/>
  <cols>
    <col min="1" max="1" width="64.42578125" style="10" customWidth="1"/>
    <col min="2" max="4" width="15.7109375" style="10" customWidth="1"/>
    <col min="5" max="5" width="9" style="876" customWidth="1"/>
    <col min="6" max="8" width="15.7109375" style="10" customWidth="1"/>
    <col min="9" max="16384" width="11.42578125" style="10"/>
  </cols>
  <sheetData>
    <row r="1" spans="1:8">
      <c r="A1" s="217"/>
    </row>
    <row r="2" spans="1:8">
      <c r="A2" s="217"/>
    </row>
    <row r="4" spans="1:8" ht="14.25">
      <c r="A4" s="4" t="str">
        <f>_soNom</f>
        <v>Cecotra</v>
      </c>
      <c r="E4" s="1342" t="str">
        <f>_ExerClos</f>
        <v>Exercice clos le 31/12/2025</v>
      </c>
      <c r="F4" s="1342"/>
      <c r="G4" s="1342"/>
    </row>
    <row r="5" spans="1:8" ht="15" customHeight="1">
      <c r="A5" s="6" t="str">
        <f>_soId</f>
        <v> 3201810353457</v>
      </c>
      <c r="E5" s="1341" t="str">
        <f>_Duree</f>
        <v>Durée (en mois) 12</v>
      </c>
      <c r="F5" s="1341"/>
      <c r="G5" s="1341"/>
    </row>
    <row r="6" spans="1:8" ht="15">
      <c r="A6" s="1610" t="s">
        <v>932</v>
      </c>
      <c r="B6" s="1610"/>
      <c r="C6" s="1610"/>
      <c r="D6" s="1610"/>
      <c r="E6" s="1610"/>
      <c r="F6" s="1610"/>
      <c r="G6" s="1610"/>
    </row>
    <row r="7" spans="1:8" ht="15.75" thickBot="1">
      <c r="A7" s="1633" t="s">
        <v>775</v>
      </c>
      <c r="B7" s="1633"/>
      <c r="C7" s="1633"/>
      <c r="D7" s="1633"/>
      <c r="E7" s="1633"/>
      <c r="F7" s="1633"/>
      <c r="G7" s="1633"/>
    </row>
    <row r="8" spans="1:8" ht="48" customHeight="1">
      <c r="A8" s="1432" t="s">
        <v>416</v>
      </c>
      <c r="B8" s="1433" t="str">
        <f>_ExerFin</f>
        <v xml:space="preserve"> 31/12/2025</v>
      </c>
      <c r="C8" s="1433" t="str">
        <f>_ExerFin1</f>
        <v xml:space="preserve"> 31/12/2024</v>
      </c>
      <c r="D8" s="1433" t="s">
        <v>645</v>
      </c>
      <c r="E8" s="1638" t="s">
        <v>417</v>
      </c>
      <c r="F8" s="1565" t="s">
        <v>762</v>
      </c>
      <c r="G8" s="1565" t="s">
        <v>1504</v>
      </c>
      <c r="H8" s="1636" t="s">
        <v>765</v>
      </c>
    </row>
    <row r="9" spans="1:8" ht="7.5" customHeight="1" thickBot="1">
      <c r="A9" s="1533"/>
      <c r="B9" s="1534"/>
      <c r="C9" s="1534"/>
      <c r="D9" s="1534"/>
      <c r="E9" s="1639"/>
      <c r="F9" s="1567"/>
      <c r="G9" s="1567"/>
      <c r="H9" s="1637"/>
    </row>
    <row r="10" spans="1:8" ht="15" customHeight="1">
      <c r="A10" s="239" t="s">
        <v>307</v>
      </c>
      <c r="B10" s="1053">
        <v>0</v>
      </c>
      <c r="C10" s="1053">
        <v>0</v>
      </c>
      <c r="D10" s="1053">
        <f>B10-C10</f>
        <v>0</v>
      </c>
      <c r="E10" s="1053">
        <f>IF(C10=0,0,(B10-C10)/C10)*100</f>
        <v>0</v>
      </c>
      <c r="F10" s="1053"/>
      <c r="G10" s="1053"/>
      <c r="H10" s="1053"/>
    </row>
    <row r="11" spans="1:8">
      <c r="A11" s="222" t="s">
        <v>776</v>
      </c>
      <c r="B11" s="1054">
        <v>0</v>
      </c>
      <c r="C11" s="1054">
        <v>0</v>
      </c>
      <c r="D11" s="1053">
        <f t="shared" ref="D11:D30" si="0">B11-C11</f>
        <v>0</v>
      </c>
      <c r="E11" s="1053">
        <f t="shared" ref="E11:E30" si="1">IF(C11=0,0,(B11-C11)/C11)*100</f>
        <v>0</v>
      </c>
      <c r="F11" s="1054"/>
      <c r="G11" s="1054"/>
      <c r="H11" s="1054"/>
    </row>
    <row r="12" spans="1:8" ht="15" customHeight="1">
      <c r="A12" s="222" t="s">
        <v>777</v>
      </c>
      <c r="B12" s="1054">
        <v>0</v>
      </c>
      <c r="C12" s="1054">
        <v>0</v>
      </c>
      <c r="D12" s="1053">
        <f t="shared" si="0"/>
        <v>0</v>
      </c>
      <c r="E12" s="1053">
        <f t="shared" si="1"/>
        <v>0</v>
      </c>
      <c r="F12" s="1054"/>
      <c r="G12" s="1054"/>
      <c r="H12" s="1054"/>
    </row>
    <row r="13" spans="1:8" ht="15" customHeight="1">
      <c r="A13" s="222" t="s">
        <v>778</v>
      </c>
      <c r="B13" s="1054">
        <v>0</v>
      </c>
      <c r="C13" s="1054">
        <v>0</v>
      </c>
      <c r="D13" s="1053">
        <f t="shared" si="0"/>
        <v>0</v>
      </c>
      <c r="E13" s="1053">
        <f t="shared" si="1"/>
        <v>0</v>
      </c>
      <c r="F13" s="1054"/>
      <c r="G13" s="1054"/>
      <c r="H13" s="1054"/>
    </row>
    <row r="14" spans="1:8" ht="15" customHeight="1">
      <c r="A14" s="222" t="s">
        <v>779</v>
      </c>
      <c r="B14" s="1054">
        <v>0</v>
      </c>
      <c r="C14" s="1054">
        <v>0</v>
      </c>
      <c r="D14" s="1053">
        <f t="shared" si="0"/>
        <v>0</v>
      </c>
      <c r="E14" s="1053">
        <f t="shared" si="1"/>
        <v>0</v>
      </c>
      <c r="F14" s="1054"/>
      <c r="G14" s="1054"/>
      <c r="H14" s="1054"/>
    </row>
    <row r="15" spans="1:8" ht="15" customHeight="1" thickBot="1">
      <c r="A15" s="229" t="s">
        <v>780</v>
      </c>
      <c r="B15" s="1055">
        <v>0</v>
      </c>
      <c r="C15" s="1055">
        <v>0</v>
      </c>
      <c r="D15" s="1053">
        <f t="shared" si="0"/>
        <v>0</v>
      </c>
      <c r="E15" s="1053">
        <f t="shared" si="1"/>
        <v>0</v>
      </c>
      <c r="F15" s="1055"/>
      <c r="G15" s="1055"/>
      <c r="H15" s="1055"/>
    </row>
    <row r="16" spans="1:8" ht="15" customHeight="1" thickBot="1">
      <c r="A16" s="234" t="s">
        <v>781</v>
      </c>
      <c r="B16" s="1056">
        <f>SUM(B10:B15)</f>
        <v>0</v>
      </c>
      <c r="C16" s="1056">
        <f t="shared" ref="C16" si="2">SUM(C10:C15)</f>
        <v>0</v>
      </c>
      <c r="D16" s="1056">
        <f t="shared" si="0"/>
        <v>0</v>
      </c>
      <c r="E16" s="1057">
        <f t="shared" si="1"/>
        <v>0</v>
      </c>
      <c r="F16" s="1056">
        <f>SUM(F10:F15)</f>
        <v>0</v>
      </c>
      <c r="G16" s="1056">
        <f t="shared" ref="G16:H16" si="3">SUM(G10:G15)</f>
        <v>0</v>
      </c>
      <c r="H16" s="1056">
        <f t="shared" si="3"/>
        <v>0</v>
      </c>
    </row>
    <row r="17" spans="1:8" ht="12" customHeight="1">
      <c r="A17" s="222" t="s">
        <v>309</v>
      </c>
      <c r="B17" s="1054">
        <v>0</v>
      </c>
      <c r="C17" s="1054">
        <v>0</v>
      </c>
      <c r="D17" s="1053">
        <f t="shared" si="0"/>
        <v>0</v>
      </c>
      <c r="E17" s="1053">
        <f t="shared" si="1"/>
        <v>0</v>
      </c>
      <c r="F17" s="1054"/>
      <c r="G17" s="1054"/>
      <c r="H17" s="1054"/>
    </row>
    <row r="18" spans="1:8" ht="12" customHeight="1">
      <c r="A18" s="222" t="s">
        <v>782</v>
      </c>
      <c r="B18" s="1054">
        <v>0</v>
      </c>
      <c r="C18" s="1054">
        <v>0</v>
      </c>
      <c r="D18" s="1053">
        <f t="shared" si="0"/>
        <v>0</v>
      </c>
      <c r="E18" s="1053">
        <f t="shared" si="1"/>
        <v>0</v>
      </c>
      <c r="F18" s="1054"/>
      <c r="G18" s="1054"/>
      <c r="H18" s="1054"/>
    </row>
    <row r="19" spans="1:8" ht="12" customHeight="1">
      <c r="A19" s="222" t="s">
        <v>783</v>
      </c>
      <c r="B19" s="1054">
        <v>0</v>
      </c>
      <c r="C19" s="1054">
        <v>0</v>
      </c>
      <c r="D19" s="1053">
        <f t="shared" si="0"/>
        <v>0</v>
      </c>
      <c r="E19" s="1053">
        <f t="shared" si="1"/>
        <v>0</v>
      </c>
      <c r="F19" s="1054"/>
      <c r="G19" s="1054"/>
      <c r="H19" s="1054"/>
    </row>
    <row r="20" spans="1:8" ht="12" customHeight="1">
      <c r="A20" s="1157" t="s">
        <v>1674</v>
      </c>
      <c r="B20" s="1054">
        <v>0</v>
      </c>
      <c r="C20" s="1054">
        <v>0</v>
      </c>
      <c r="D20" s="1053">
        <f t="shared" si="0"/>
        <v>0</v>
      </c>
      <c r="E20" s="1053">
        <f t="shared" si="1"/>
        <v>0</v>
      </c>
      <c r="F20" s="1054"/>
      <c r="G20" s="1054"/>
      <c r="H20" s="1054"/>
    </row>
    <row r="21" spans="1:8" ht="12" customHeight="1">
      <c r="A21" s="222" t="s">
        <v>784</v>
      </c>
      <c r="B21" s="1054">
        <v>0</v>
      </c>
      <c r="C21" s="1054">
        <v>0</v>
      </c>
      <c r="D21" s="1053">
        <f t="shared" si="0"/>
        <v>0</v>
      </c>
      <c r="E21" s="1053">
        <f t="shared" si="1"/>
        <v>0</v>
      </c>
      <c r="F21" s="1054"/>
      <c r="G21" s="1054"/>
      <c r="H21" s="1054"/>
    </row>
    <row r="22" spans="1:8" ht="12" customHeight="1">
      <c r="A22" s="222" t="s">
        <v>488</v>
      </c>
      <c r="B22" s="1054">
        <v>0</v>
      </c>
      <c r="C22" s="1054">
        <v>0</v>
      </c>
      <c r="D22" s="1053">
        <f t="shared" si="0"/>
        <v>0</v>
      </c>
      <c r="E22" s="1053">
        <f t="shared" si="1"/>
        <v>0</v>
      </c>
      <c r="F22" s="1054"/>
      <c r="G22" s="1054"/>
      <c r="H22" s="1054"/>
    </row>
    <row r="23" spans="1:8" ht="12" customHeight="1" thickBot="1">
      <c r="A23" s="229" t="s">
        <v>785</v>
      </c>
      <c r="B23" s="1055">
        <v>0</v>
      </c>
      <c r="C23" s="1055">
        <v>0</v>
      </c>
      <c r="D23" s="1053">
        <f t="shared" si="0"/>
        <v>0</v>
      </c>
      <c r="E23" s="1053">
        <f t="shared" si="1"/>
        <v>0</v>
      </c>
      <c r="F23" s="1055"/>
      <c r="G23" s="1055"/>
      <c r="H23" s="1055"/>
    </row>
    <row r="24" spans="1:8" ht="15" customHeight="1" thickBot="1">
      <c r="A24" s="234" t="s">
        <v>786</v>
      </c>
      <c r="B24" s="1056">
        <v>0</v>
      </c>
      <c r="C24" s="1056">
        <v>0</v>
      </c>
      <c r="D24" s="1056">
        <f t="shared" si="0"/>
        <v>0</v>
      </c>
      <c r="E24" s="1057">
        <f t="shared" si="1"/>
        <v>0</v>
      </c>
      <c r="F24" s="1056">
        <f>SUM(F17:F23)</f>
        <v>0</v>
      </c>
      <c r="G24" s="1056">
        <f t="shared" ref="G24:H24" si="4">SUM(G17:G23)</f>
        <v>0</v>
      </c>
      <c r="H24" s="1056">
        <f t="shared" si="4"/>
        <v>0</v>
      </c>
    </row>
    <row r="25" spans="1:8" ht="12" customHeight="1">
      <c r="A25" s="222" t="s">
        <v>490</v>
      </c>
      <c r="B25" s="1054">
        <v>0</v>
      </c>
      <c r="C25" s="1054">
        <v>0</v>
      </c>
      <c r="D25" s="1053">
        <f t="shared" si="0"/>
        <v>0</v>
      </c>
      <c r="E25" s="1053">
        <f t="shared" si="1"/>
        <v>0</v>
      </c>
      <c r="F25" s="1054"/>
      <c r="G25" s="1054"/>
      <c r="H25" s="1054"/>
    </row>
    <row r="26" spans="1:8">
      <c r="A26" s="349" t="s">
        <v>491</v>
      </c>
      <c r="B26" s="1054">
        <v>0</v>
      </c>
      <c r="C26" s="1054">
        <v>0</v>
      </c>
      <c r="D26" s="1053">
        <f t="shared" si="0"/>
        <v>0</v>
      </c>
      <c r="E26" s="1053">
        <f t="shared" si="1"/>
        <v>0</v>
      </c>
      <c r="F26" s="1054"/>
      <c r="G26" s="1054"/>
      <c r="H26" s="1054"/>
    </row>
    <row r="27" spans="1:8">
      <c r="A27" s="222" t="s">
        <v>492</v>
      </c>
      <c r="B27" s="1054">
        <v>0</v>
      </c>
      <c r="C27" s="1054">
        <v>0</v>
      </c>
      <c r="D27" s="1053">
        <f t="shared" si="0"/>
        <v>0</v>
      </c>
      <c r="E27" s="1053">
        <f t="shared" si="1"/>
        <v>0</v>
      </c>
      <c r="F27" s="1054"/>
      <c r="G27" s="1054"/>
      <c r="H27" s="1054"/>
    </row>
    <row r="28" spans="1:8" ht="15" customHeight="1">
      <c r="A28" s="223" t="s">
        <v>787</v>
      </c>
      <c r="B28" s="1057">
        <v>0</v>
      </c>
      <c r="C28" s="1057">
        <v>0</v>
      </c>
      <c r="D28" s="1057">
        <f t="shared" si="0"/>
        <v>0</v>
      </c>
      <c r="E28" s="1057">
        <f t="shared" si="1"/>
        <v>0</v>
      </c>
      <c r="F28" s="1057">
        <f>SUM(F25:F27)</f>
        <v>0</v>
      </c>
      <c r="G28" s="1057">
        <f t="shared" ref="G28:H28" si="5">SUM(G25:G27)</f>
        <v>0</v>
      </c>
      <c r="H28" s="1057">
        <f t="shared" si="5"/>
        <v>0</v>
      </c>
    </row>
    <row r="29" spans="1:8" ht="15" customHeight="1" thickBot="1">
      <c r="A29" s="229" t="s">
        <v>7</v>
      </c>
      <c r="B29" s="1055">
        <v>0</v>
      </c>
      <c r="C29" s="1055">
        <v>0</v>
      </c>
      <c r="D29" s="1053">
        <f t="shared" si="0"/>
        <v>0</v>
      </c>
      <c r="E29" s="1053">
        <f t="shared" si="1"/>
        <v>0</v>
      </c>
      <c r="F29" s="1055"/>
      <c r="G29" s="1055"/>
      <c r="H29" s="1055"/>
    </row>
    <row r="30" spans="1:8" ht="15" customHeight="1" thickBot="1">
      <c r="A30" s="187" t="s">
        <v>788</v>
      </c>
      <c r="B30" s="1058">
        <f>+B16+B24+B28</f>
        <v>0</v>
      </c>
      <c r="C30" s="1058">
        <f t="shared" ref="C30:H30" si="6">+C16+C24+C28</f>
        <v>0</v>
      </c>
      <c r="D30" s="1058">
        <f t="shared" si="0"/>
        <v>0</v>
      </c>
      <c r="E30" s="1058">
        <f t="shared" si="1"/>
        <v>0</v>
      </c>
      <c r="F30" s="1058">
        <f t="shared" si="6"/>
        <v>0</v>
      </c>
      <c r="G30" s="1058">
        <f t="shared" si="6"/>
        <v>0</v>
      </c>
      <c r="H30" s="1058">
        <f t="shared" si="6"/>
        <v>0</v>
      </c>
    </row>
    <row r="31" spans="1:8" ht="15" customHeight="1">
      <c r="A31" s="239" t="s">
        <v>7</v>
      </c>
      <c r="B31" s="239"/>
      <c r="C31" s="239"/>
      <c r="D31" s="239"/>
      <c r="E31" s="878"/>
      <c r="F31" s="239"/>
      <c r="G31" s="239"/>
      <c r="H31" s="239"/>
    </row>
    <row r="32" spans="1:8">
      <c r="A32" s="222" t="s">
        <v>789</v>
      </c>
      <c r="B32" s="222"/>
      <c r="C32" s="222"/>
      <c r="D32" s="222"/>
      <c r="E32" s="877"/>
      <c r="F32" s="222"/>
      <c r="G32" s="222"/>
      <c r="H32" s="222"/>
    </row>
    <row r="33" spans="1:1">
      <c r="A33" s="167" t="s">
        <v>933</v>
      </c>
    </row>
    <row r="34" spans="1:1">
      <c r="A34" s="168" t="s">
        <v>935</v>
      </c>
    </row>
    <row r="35" spans="1:1">
      <c r="A35" s="168" t="s">
        <v>936</v>
      </c>
    </row>
    <row r="36" spans="1:1">
      <c r="A36" s="168" t="s">
        <v>937</v>
      </c>
    </row>
    <row r="37" spans="1:1">
      <c r="A37" s="168" t="s">
        <v>606</v>
      </c>
    </row>
    <row r="38" spans="1:1">
      <c r="A38" s="217" t="s">
        <v>0</v>
      </c>
    </row>
  </sheetData>
  <mergeCells count="12">
    <mergeCell ref="E4:G4"/>
    <mergeCell ref="E5:G5"/>
    <mergeCell ref="H8:H9"/>
    <mergeCell ref="A6:G6"/>
    <mergeCell ref="A7:G7"/>
    <mergeCell ref="A8:A9"/>
    <mergeCell ref="B8:B9"/>
    <mergeCell ref="C8:C9"/>
    <mergeCell ref="D8:D9"/>
    <mergeCell ref="E8:E9"/>
    <mergeCell ref="F8:F9"/>
    <mergeCell ref="G8:G9"/>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showZeros="0" workbookViewId="0">
      <selection activeCell="C22" sqref="C22"/>
    </sheetView>
  </sheetViews>
  <sheetFormatPr baseColWidth="10" defaultRowHeight="12"/>
  <cols>
    <col min="1" max="1" width="46.85546875" style="87" customWidth="1"/>
    <col min="2" max="4" width="15.7109375" style="87" customWidth="1"/>
    <col min="5" max="16384" width="11.42578125" style="87"/>
  </cols>
  <sheetData>
    <row r="1" spans="1:8">
      <c r="A1" s="259"/>
    </row>
    <row r="2" spans="1:8" s="10" customFormat="1">
      <c r="A2" s="217"/>
    </row>
    <row r="3" spans="1:8" s="10" customFormat="1">
      <c r="A3" s="217"/>
    </row>
    <row r="4" spans="1:8" s="10" customFormat="1"/>
    <row r="5" spans="1:8" s="10" customFormat="1" ht="15" customHeight="1">
      <c r="A5" s="4" t="str">
        <f>_soNom</f>
        <v>Cecotra</v>
      </c>
      <c r="C5" s="1640" t="str">
        <f>_ExerClos</f>
        <v>Exercice clos le 31/12/2025</v>
      </c>
      <c r="D5" s="1640"/>
    </row>
    <row r="6" spans="1:8" s="10" customFormat="1" ht="15" customHeight="1">
      <c r="A6" s="6" t="str">
        <f>_soId</f>
        <v> 3201810353457</v>
      </c>
      <c r="C6" s="1640" t="str">
        <f>_Duree</f>
        <v>Durée (en mois) 12</v>
      </c>
      <c r="D6" s="1640"/>
    </row>
    <row r="7" spans="1:8" s="10" customFormat="1">
      <c r="A7" s="206"/>
      <c r="C7" s="206"/>
    </row>
    <row r="8" spans="1:8" ht="16.5" customHeight="1">
      <c r="A8" s="1630" t="s">
        <v>938</v>
      </c>
      <c r="B8" s="1630"/>
      <c r="C8" s="1630"/>
      <c r="D8" s="1630"/>
      <c r="E8" s="325"/>
      <c r="F8" s="325"/>
      <c r="G8" s="325"/>
      <c r="H8" s="325"/>
    </row>
    <row r="9" spans="1:8" ht="15.75" customHeight="1" thickBot="1">
      <c r="A9" s="1645" t="s">
        <v>790</v>
      </c>
      <c r="B9" s="1645"/>
      <c r="C9" s="1645"/>
      <c r="D9" s="1645"/>
      <c r="E9" s="90"/>
      <c r="F9" s="90"/>
      <c r="G9" s="90"/>
      <c r="H9" s="90"/>
    </row>
    <row r="10" spans="1:8" ht="15" customHeight="1">
      <c r="A10" s="1584" t="s">
        <v>610</v>
      </c>
      <c r="B10" s="1433" t="str">
        <f>_ExerFin</f>
        <v xml:space="preserve"> 31/12/2025</v>
      </c>
      <c r="C10" s="1433" t="str">
        <f>_ExerFin1</f>
        <v xml:space="preserve"> 31/12/2024</v>
      </c>
      <c r="D10" s="1636" t="s">
        <v>1506</v>
      </c>
    </row>
    <row r="11" spans="1:8" ht="15" customHeight="1" thickBot="1">
      <c r="A11" s="1585"/>
      <c r="B11" s="1534"/>
      <c r="C11" s="1534"/>
      <c r="D11" s="1637"/>
    </row>
    <row r="12" spans="1:8" ht="15" customHeight="1">
      <c r="A12" s="238" t="s">
        <v>791</v>
      </c>
      <c r="B12" s="1053">
        <v>0</v>
      </c>
      <c r="C12" s="1053">
        <v>0</v>
      </c>
      <c r="D12" s="1059">
        <f>IF(C12=0,0,(B12-C12)/C12)*100</f>
        <v>0</v>
      </c>
    </row>
    <row r="13" spans="1:8" ht="15" customHeight="1" thickBot="1">
      <c r="A13" s="228" t="s">
        <v>792</v>
      </c>
      <c r="B13" s="1055"/>
      <c r="C13" s="1055"/>
      <c r="D13" s="1059">
        <f>IF(C13=0,0,(B13-C13)/C13)*100</f>
        <v>0</v>
      </c>
    </row>
    <row r="14" spans="1:8" ht="15" customHeight="1">
      <c r="A14" s="352" t="s">
        <v>793</v>
      </c>
      <c r="B14" s="1641">
        <f>+B12+B13</f>
        <v>0</v>
      </c>
      <c r="C14" s="1641">
        <f>+C12+C13</f>
        <v>0</v>
      </c>
      <c r="D14" s="1643">
        <f>IF(C14=0,0,(B14-C14)/C14)*100</f>
        <v>0</v>
      </c>
    </row>
    <row r="15" spans="1:8" ht="15" customHeight="1" thickBot="1">
      <c r="A15" s="336" t="s">
        <v>794</v>
      </c>
      <c r="B15" s="1642"/>
      <c r="C15" s="1642"/>
      <c r="D15" s="1644"/>
    </row>
    <row r="16" spans="1:8" ht="15" customHeight="1">
      <c r="A16" s="238" t="s">
        <v>7</v>
      </c>
      <c r="B16" s="1053">
        <v>0</v>
      </c>
      <c r="C16" s="1053">
        <v>0</v>
      </c>
      <c r="D16" s="1059"/>
    </row>
    <row r="17" spans="1:4" ht="15" customHeight="1">
      <c r="A17" s="224" t="s">
        <v>625</v>
      </c>
      <c r="B17" s="1054">
        <v>0</v>
      </c>
      <c r="C17" s="1054">
        <v>0</v>
      </c>
      <c r="D17" s="1060">
        <f>IF(C17=0,0,(B17-C17)/C17)*100</f>
        <v>0</v>
      </c>
    </row>
    <row r="18" spans="1:4" ht="15" customHeight="1">
      <c r="A18" s="224" t="s">
        <v>626</v>
      </c>
      <c r="B18" s="1054">
        <v>0</v>
      </c>
      <c r="C18" s="1054">
        <v>0</v>
      </c>
      <c r="D18" s="1060">
        <f t="shared" ref="D18:D21" si="0">IF(C18=0,0,(B18-C18)/C18)*100</f>
        <v>0</v>
      </c>
    </row>
    <row r="19" spans="1:4" ht="15" customHeight="1">
      <c r="A19" s="224" t="s">
        <v>628</v>
      </c>
      <c r="B19" s="1054">
        <v>0</v>
      </c>
      <c r="C19" s="1054">
        <v>0</v>
      </c>
      <c r="D19" s="1060">
        <f t="shared" si="0"/>
        <v>0</v>
      </c>
    </row>
    <row r="20" spans="1:4" ht="15" customHeight="1">
      <c r="A20" s="224" t="s">
        <v>629</v>
      </c>
      <c r="B20" s="1054">
        <v>0</v>
      </c>
      <c r="C20" s="1054">
        <v>0</v>
      </c>
      <c r="D20" s="1060">
        <f t="shared" si="0"/>
        <v>0</v>
      </c>
    </row>
    <row r="21" spans="1:4" ht="15" customHeight="1" thickBot="1">
      <c r="A21" s="228" t="s">
        <v>795</v>
      </c>
      <c r="B21" s="1055"/>
      <c r="C21" s="1055"/>
      <c r="D21" s="1060">
        <f t="shared" si="0"/>
        <v>0</v>
      </c>
    </row>
    <row r="22" spans="1:4" ht="15" customHeight="1" thickBot="1">
      <c r="A22" s="234" t="s">
        <v>796</v>
      </c>
      <c r="B22" s="1056">
        <f>SUM(B17:B21)</f>
        <v>0</v>
      </c>
      <c r="C22" s="1056">
        <f>SUM(C17:C21)</f>
        <v>0</v>
      </c>
      <c r="D22" s="1056">
        <f>IF(C22=0,0,(B22-C22)/C22)*100</f>
        <v>0</v>
      </c>
    </row>
    <row r="23" spans="1:4" ht="15" customHeight="1">
      <c r="A23" s="238" t="s">
        <v>7</v>
      </c>
      <c r="B23" s="1053"/>
      <c r="C23" s="1053"/>
      <c r="D23" s="1059"/>
    </row>
    <row r="24" spans="1:4" ht="15" customHeight="1" thickBot="1">
      <c r="A24" s="351" t="s">
        <v>64</v>
      </c>
      <c r="B24" s="1061">
        <f>+B14+B22</f>
        <v>0</v>
      </c>
      <c r="C24" s="1061">
        <f>+C14+C22</f>
        <v>0</v>
      </c>
      <c r="D24" s="1062">
        <f>IF(C24=0,0,(B24-C24)/C24)*100</f>
        <v>0</v>
      </c>
    </row>
    <row r="25" spans="1:4">
      <c r="A25" s="167" t="s">
        <v>612</v>
      </c>
    </row>
    <row r="26" spans="1:4">
      <c r="A26" s="168" t="s">
        <v>934</v>
      </c>
    </row>
    <row r="27" spans="1:4" ht="21" customHeight="1">
      <c r="A27" s="168" t="s">
        <v>939</v>
      </c>
    </row>
    <row r="28" spans="1:4">
      <c r="A28" s="350" t="s">
        <v>797</v>
      </c>
    </row>
    <row r="29" spans="1:4">
      <c r="A29" s="259" t="s">
        <v>0</v>
      </c>
    </row>
    <row r="30" spans="1:4">
      <c r="A30" s="259" t="s">
        <v>0</v>
      </c>
    </row>
    <row r="31" spans="1:4">
      <c r="A31" s="259" t="s">
        <v>0</v>
      </c>
    </row>
    <row r="32" spans="1:4">
      <c r="A32" s="259" t="s">
        <v>0</v>
      </c>
    </row>
    <row r="33" spans="1:1">
      <c r="A33" s="259" t="s">
        <v>0</v>
      </c>
    </row>
  </sheetData>
  <mergeCells count="11">
    <mergeCell ref="C5:D5"/>
    <mergeCell ref="C6:D6"/>
    <mergeCell ref="B14:B15"/>
    <mergeCell ref="C14:C15"/>
    <mergeCell ref="D14:D15"/>
    <mergeCell ref="A8:D8"/>
    <mergeCell ref="A9:D9"/>
    <mergeCell ref="A10:A11"/>
    <mergeCell ref="B10:B11"/>
    <mergeCell ref="C10:C11"/>
    <mergeCell ref="D10:D11"/>
  </mergeCells>
  <pageMargins left="0.37" right="0.28999999999999998"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showZeros="0" topLeftCell="A24" workbookViewId="0">
      <selection activeCell="B38" sqref="B38"/>
    </sheetView>
  </sheetViews>
  <sheetFormatPr baseColWidth="10" defaultRowHeight="12"/>
  <cols>
    <col min="1" max="1" width="61.140625" style="87" customWidth="1"/>
    <col min="2" max="2" width="16.5703125" style="87" bestFit="1" customWidth="1"/>
    <col min="3" max="3" width="14" style="87" bestFit="1" customWidth="1"/>
    <col min="4" max="4" width="14.5703125" style="87" bestFit="1" customWidth="1"/>
    <col min="5" max="16384" width="11.42578125" style="87"/>
  </cols>
  <sheetData>
    <row r="1" spans="1:6">
      <c r="A1" s="259"/>
    </row>
    <row r="2" spans="1:6">
      <c r="A2" s="259"/>
    </row>
    <row r="3" spans="1:6" s="10" customFormat="1">
      <c r="A3" s="217"/>
    </row>
    <row r="4" spans="1:6" s="10" customFormat="1">
      <c r="A4" s="217"/>
    </row>
    <row r="5" spans="1:6" s="10" customFormat="1"/>
    <row r="6" spans="1:6" s="10" customFormat="1" ht="14.25">
      <c r="A6" s="4" t="str">
        <f>_soNom</f>
        <v>Cecotra</v>
      </c>
      <c r="B6" s="1342" t="str">
        <f>_ExerClos</f>
        <v>Exercice clos le 31/12/2025</v>
      </c>
      <c r="C6" s="1342"/>
      <c r="D6" s="1342"/>
    </row>
    <row r="7" spans="1:6" s="10" customFormat="1" ht="15" customHeight="1">
      <c r="A7" s="6" t="str">
        <f>_soId</f>
        <v> 3201810353457</v>
      </c>
      <c r="B7" s="1341" t="str">
        <f>_Duree</f>
        <v>Durée (en mois) 12</v>
      </c>
      <c r="C7" s="1341"/>
      <c r="D7" s="1341"/>
    </row>
    <row r="8" spans="1:6" s="10" customFormat="1">
      <c r="A8" s="206"/>
      <c r="C8" s="206"/>
    </row>
    <row r="9" spans="1:6" ht="14.25">
      <c r="A9" s="1497" t="s">
        <v>942</v>
      </c>
      <c r="B9" s="1497"/>
      <c r="C9" s="1497"/>
      <c r="D9" s="1497"/>
      <c r="E9" s="545"/>
      <c r="F9" s="545"/>
    </row>
    <row r="10" spans="1:6" ht="15" thickBot="1">
      <c r="A10" s="1583" t="s">
        <v>798</v>
      </c>
      <c r="B10" s="1583"/>
      <c r="C10" s="1583"/>
      <c r="D10" s="1583"/>
      <c r="E10" s="546"/>
      <c r="F10" s="546"/>
    </row>
    <row r="11" spans="1:6" ht="20.100000000000001" customHeight="1">
      <c r="A11" s="1432" t="s">
        <v>416</v>
      </c>
      <c r="B11" s="1433" t="str">
        <f>_ExerFin</f>
        <v xml:space="preserve"> 31/12/2025</v>
      </c>
      <c r="C11" s="1433" t="str">
        <f>_ExerFin1</f>
        <v xml:space="preserve"> 31/12/2024</v>
      </c>
      <c r="D11" s="1636" t="s">
        <v>1506</v>
      </c>
    </row>
    <row r="12" spans="1:6" ht="14.25" customHeight="1" thickBot="1">
      <c r="A12" s="1533"/>
      <c r="B12" s="1534"/>
      <c r="C12" s="1534"/>
      <c r="D12" s="1637"/>
    </row>
    <row r="13" spans="1:6" ht="20.100000000000001" customHeight="1" thickBot="1">
      <c r="A13" s="238" t="s">
        <v>799</v>
      </c>
      <c r="B13" s="1063">
        <v>0</v>
      </c>
      <c r="C13" s="1063">
        <v>0</v>
      </c>
      <c r="D13" s="1064">
        <f>IF(C13=0,0,(B13-C13)/C13)*100</f>
        <v>0</v>
      </c>
    </row>
    <row r="14" spans="1:6" ht="20.100000000000001" customHeight="1" thickBot="1">
      <c r="A14" s="814" t="s">
        <v>800</v>
      </c>
      <c r="B14" s="928">
        <v>0</v>
      </c>
      <c r="C14" s="928">
        <v>0</v>
      </c>
      <c r="D14" s="1064">
        <f t="shared" ref="D14:D40" si="0">IF(C14=0,0,(B14-C14)/C14)*100</f>
        <v>0</v>
      </c>
    </row>
    <row r="15" spans="1:6" ht="20.100000000000001" customHeight="1" thickBot="1">
      <c r="A15" s="814" t="s">
        <v>801</v>
      </c>
      <c r="B15" s="928">
        <v>0</v>
      </c>
      <c r="C15" s="928">
        <v>0</v>
      </c>
      <c r="D15" s="1064">
        <f t="shared" si="0"/>
        <v>0</v>
      </c>
    </row>
    <row r="16" spans="1:6" ht="20.100000000000001" customHeight="1" thickBot="1">
      <c r="A16" s="228" t="s">
        <v>802</v>
      </c>
      <c r="B16" s="932">
        <v>0</v>
      </c>
      <c r="C16" s="932">
        <v>0</v>
      </c>
      <c r="D16" s="1064">
        <f t="shared" si="0"/>
        <v>0</v>
      </c>
    </row>
    <row r="17" spans="1:4" ht="20.100000000000001" customHeight="1" thickBot="1">
      <c r="A17" s="234" t="s">
        <v>803</v>
      </c>
      <c r="B17" s="997">
        <f>SUM(B13:B16)</f>
        <v>0</v>
      </c>
      <c r="C17" s="997">
        <f t="shared" ref="C17" si="1">SUM(C13:C16)</f>
        <v>0</v>
      </c>
      <c r="D17" s="997">
        <f t="shared" si="0"/>
        <v>0</v>
      </c>
    </row>
    <row r="18" spans="1:4" ht="20.100000000000001" customHeight="1" thickBot="1">
      <c r="A18" s="231" t="s">
        <v>7</v>
      </c>
      <c r="B18" s="924"/>
      <c r="C18" s="924"/>
      <c r="D18" s="1064">
        <f t="shared" si="0"/>
        <v>0</v>
      </c>
    </row>
    <row r="19" spans="1:4" ht="20.100000000000001" customHeight="1" thickBot="1">
      <c r="A19" s="814" t="s">
        <v>799</v>
      </c>
      <c r="B19" s="928">
        <v>0</v>
      </c>
      <c r="C19" s="928">
        <v>0</v>
      </c>
      <c r="D19" s="1064">
        <f t="shared" si="0"/>
        <v>0</v>
      </c>
    </row>
    <row r="20" spans="1:4" ht="20.100000000000001" customHeight="1" thickBot="1">
      <c r="A20" s="814" t="s">
        <v>800</v>
      </c>
      <c r="B20" s="928">
        <v>0</v>
      </c>
      <c r="C20" s="928">
        <v>0</v>
      </c>
      <c r="D20" s="1064">
        <f t="shared" si="0"/>
        <v>0</v>
      </c>
    </row>
    <row r="21" spans="1:4" ht="20.100000000000001" customHeight="1" thickBot="1">
      <c r="A21" s="814" t="s">
        <v>801</v>
      </c>
      <c r="B21" s="928">
        <v>0</v>
      </c>
      <c r="C21" s="928">
        <v>0</v>
      </c>
      <c r="D21" s="1064">
        <f t="shared" si="0"/>
        <v>0</v>
      </c>
    </row>
    <row r="22" spans="1:4" ht="20.100000000000001" customHeight="1" thickBot="1">
      <c r="A22" s="228" t="s">
        <v>802</v>
      </c>
      <c r="B22" s="932">
        <v>0</v>
      </c>
      <c r="C22" s="932">
        <v>0</v>
      </c>
      <c r="D22" s="1064">
        <f t="shared" si="0"/>
        <v>0</v>
      </c>
    </row>
    <row r="23" spans="1:4" ht="20.100000000000001" customHeight="1" thickBot="1">
      <c r="A23" s="234" t="s">
        <v>804</v>
      </c>
      <c r="B23" s="920">
        <v>0</v>
      </c>
      <c r="C23" s="920">
        <v>0</v>
      </c>
      <c r="D23" s="920">
        <f t="shared" si="0"/>
        <v>0</v>
      </c>
    </row>
    <row r="24" spans="1:4" ht="20.100000000000001" customHeight="1" thickBot="1">
      <c r="A24" s="231" t="s">
        <v>7</v>
      </c>
      <c r="B24" s="924"/>
      <c r="C24" s="924"/>
      <c r="D24" s="1064">
        <f t="shared" si="0"/>
        <v>0</v>
      </c>
    </row>
    <row r="25" spans="1:4" ht="20.100000000000001" customHeight="1" thickBot="1">
      <c r="A25" s="814" t="s">
        <v>799</v>
      </c>
      <c r="B25" s="924">
        <v>0</v>
      </c>
      <c r="C25" s="924">
        <v>0</v>
      </c>
      <c r="D25" s="1064">
        <f t="shared" si="0"/>
        <v>0</v>
      </c>
    </row>
    <row r="26" spans="1:4" ht="20.100000000000001" customHeight="1" thickBot="1">
      <c r="A26" s="814" t="s">
        <v>800</v>
      </c>
      <c r="B26" s="928">
        <v>0</v>
      </c>
      <c r="C26" s="928">
        <v>0</v>
      </c>
      <c r="D26" s="1064">
        <f t="shared" si="0"/>
        <v>0</v>
      </c>
    </row>
    <row r="27" spans="1:4" ht="20.100000000000001" customHeight="1" thickBot="1">
      <c r="A27" s="814" t="s">
        <v>801</v>
      </c>
      <c r="B27" s="928">
        <v>0</v>
      </c>
      <c r="C27" s="928">
        <v>0</v>
      </c>
      <c r="D27" s="1064">
        <f t="shared" si="0"/>
        <v>0</v>
      </c>
    </row>
    <row r="28" spans="1:4" ht="20.100000000000001" customHeight="1" thickBot="1">
      <c r="A28" s="228" t="s">
        <v>802</v>
      </c>
      <c r="B28" s="932">
        <v>0</v>
      </c>
      <c r="C28" s="932">
        <v>0</v>
      </c>
      <c r="D28" s="1064">
        <f t="shared" si="0"/>
        <v>0</v>
      </c>
    </row>
    <row r="29" spans="1:4" ht="15.75" customHeight="1" thickBot="1">
      <c r="A29" s="234" t="s">
        <v>805</v>
      </c>
      <c r="B29" s="997">
        <f>SUM(B25:B28)</f>
        <v>0</v>
      </c>
      <c r="C29" s="997">
        <f t="shared" ref="C29" si="2">SUM(C25:C28)</f>
        <v>0</v>
      </c>
      <c r="D29" s="997">
        <f t="shared" si="0"/>
        <v>0</v>
      </c>
    </row>
    <row r="30" spans="1:4" ht="20.100000000000001" customHeight="1" thickBot="1">
      <c r="A30" s="231" t="s">
        <v>7</v>
      </c>
      <c r="B30" s="924"/>
      <c r="C30" s="924"/>
      <c r="D30" s="1064"/>
    </row>
    <row r="31" spans="1:4" ht="20.100000000000001" customHeight="1" thickBot="1">
      <c r="A31" s="227" t="s">
        <v>806</v>
      </c>
      <c r="B31" s="928">
        <v>0</v>
      </c>
      <c r="C31" s="928">
        <v>0</v>
      </c>
      <c r="D31" s="1064">
        <f t="shared" si="0"/>
        <v>0</v>
      </c>
    </row>
    <row r="32" spans="1:4" ht="20.100000000000001" customHeight="1" thickBot="1">
      <c r="A32" s="814" t="s">
        <v>7</v>
      </c>
      <c r="B32" s="928"/>
      <c r="C32" s="928"/>
      <c r="D32" s="1064"/>
    </row>
    <row r="33" spans="1:4" ht="20.100000000000001" customHeight="1" thickBot="1">
      <c r="A33" s="353" t="s">
        <v>807</v>
      </c>
      <c r="B33" s="1065">
        <f>B17+B23+B29+B31</f>
        <v>0</v>
      </c>
      <c r="C33" s="1065">
        <f>C17+C23+C29+C31</f>
        <v>0</v>
      </c>
      <c r="D33" s="1065">
        <f t="shared" si="0"/>
        <v>0</v>
      </c>
    </row>
    <row r="34" spans="1:4" ht="20.100000000000001" customHeight="1" thickBot="1">
      <c r="A34" s="238" t="s">
        <v>7</v>
      </c>
      <c r="B34" s="924"/>
      <c r="C34" s="924"/>
      <c r="D34" s="1064">
        <f t="shared" si="0"/>
        <v>0</v>
      </c>
    </row>
    <row r="35" spans="1:4" ht="20.100000000000001" customHeight="1" thickBot="1">
      <c r="A35" s="814" t="s">
        <v>808</v>
      </c>
      <c r="B35" s="928"/>
      <c r="C35" s="928"/>
      <c r="D35" s="1064">
        <f t="shared" si="0"/>
        <v>0</v>
      </c>
    </row>
    <row r="36" spans="1:4" ht="20.100000000000001" customHeight="1" thickBot="1">
      <c r="A36" s="814" t="s">
        <v>809</v>
      </c>
      <c r="B36" s="928">
        <v>0</v>
      </c>
      <c r="C36" s="928">
        <v>0</v>
      </c>
      <c r="D36" s="1064">
        <f t="shared" si="0"/>
        <v>0</v>
      </c>
    </row>
    <row r="37" spans="1:4" ht="20.100000000000001" customHeight="1" thickBot="1">
      <c r="A37" s="228" t="s">
        <v>810</v>
      </c>
      <c r="B37" s="932">
        <v>0</v>
      </c>
      <c r="C37" s="932">
        <v>0</v>
      </c>
      <c r="D37" s="1064">
        <f t="shared" si="0"/>
        <v>0</v>
      </c>
    </row>
    <row r="38" spans="1:4" ht="20.100000000000001" customHeight="1" thickBot="1">
      <c r="A38" s="353" t="s">
        <v>811</v>
      </c>
      <c r="B38" s="1065">
        <v>0</v>
      </c>
      <c r="C38" s="1065">
        <v>0</v>
      </c>
      <c r="D38" s="1065">
        <f t="shared" si="0"/>
        <v>0</v>
      </c>
    </row>
    <row r="39" spans="1:4" ht="20.100000000000001" customHeight="1" thickBot="1">
      <c r="A39" s="354" t="s">
        <v>7</v>
      </c>
      <c r="B39" s="1066"/>
      <c r="C39" s="1066"/>
      <c r="D39" s="1064"/>
    </row>
    <row r="40" spans="1:4" ht="20.100000000000001" customHeight="1" thickBot="1">
      <c r="A40" s="843" t="s">
        <v>812</v>
      </c>
      <c r="B40" s="1067">
        <f>B33+B38</f>
        <v>0</v>
      </c>
      <c r="C40" s="1067">
        <f t="shared" ref="C40" si="3">C33+C38</f>
        <v>0</v>
      </c>
      <c r="D40" s="1067">
        <f t="shared" si="0"/>
        <v>0</v>
      </c>
    </row>
    <row r="41" spans="1:4">
      <c r="A41" s="217" t="s">
        <v>940</v>
      </c>
    </row>
    <row r="42" spans="1:4">
      <c r="A42" s="9" t="s">
        <v>600</v>
      </c>
    </row>
    <row r="43" spans="1:4" ht="36" customHeight="1">
      <c r="A43" s="1556" t="s">
        <v>941</v>
      </c>
      <c r="B43" s="1556"/>
      <c r="C43" s="1556"/>
      <c r="D43" s="1556"/>
    </row>
  </sheetData>
  <mergeCells count="9">
    <mergeCell ref="B6:D6"/>
    <mergeCell ref="B7:D7"/>
    <mergeCell ref="A9:D9"/>
    <mergeCell ref="A10:D10"/>
    <mergeCell ref="A43:D43"/>
    <mergeCell ref="A11:A12"/>
    <mergeCell ref="B11:B12"/>
    <mergeCell ref="C11:C12"/>
    <mergeCell ref="D11:D12"/>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showZeros="0" topLeftCell="A18" workbookViewId="0">
      <selection activeCell="C35" sqref="C35"/>
    </sheetView>
  </sheetViews>
  <sheetFormatPr baseColWidth="10" defaultRowHeight="12"/>
  <cols>
    <col min="1" max="1" width="55.85546875" style="87" customWidth="1"/>
    <col min="2" max="2" width="13.42578125" style="87" customWidth="1"/>
    <col min="3" max="3" width="12.5703125" style="87" customWidth="1"/>
    <col min="4" max="4" width="13.28515625" style="87" bestFit="1" customWidth="1"/>
    <col min="5" max="16384" width="11.42578125" style="87"/>
  </cols>
  <sheetData>
    <row r="1" spans="1:4">
      <c r="A1" s="168"/>
    </row>
    <row r="2" spans="1:4">
      <c r="A2" s="209"/>
    </row>
    <row r="3" spans="1:4">
      <c r="A3" s="241"/>
    </row>
    <row r="4" spans="1:4">
      <c r="A4" s="259" t="s">
        <v>0</v>
      </c>
    </row>
    <row r="5" spans="1:4" ht="14.25">
      <c r="A5" s="4" t="str">
        <f>_soNom</f>
        <v>Cecotra</v>
      </c>
      <c r="B5" s="1342" t="str">
        <f>_ExerClos</f>
        <v>Exercice clos le 31/12/2025</v>
      </c>
      <c r="C5" s="1342"/>
      <c r="D5" s="1342"/>
    </row>
    <row r="6" spans="1:4" ht="15" customHeight="1">
      <c r="A6" s="6" t="str">
        <f>_soId</f>
        <v> 3201810353457</v>
      </c>
      <c r="B6" s="1341" t="str">
        <f>_Duree</f>
        <v>Durée (en mois) 12</v>
      </c>
      <c r="C6" s="1341"/>
      <c r="D6" s="1341"/>
    </row>
    <row r="7" spans="1:4">
      <c r="A7" s="73" t="s">
        <v>0</v>
      </c>
    </row>
    <row r="8" spans="1:4">
      <c r="A8" s="1630" t="s">
        <v>943</v>
      </c>
      <c r="B8" s="1630"/>
      <c r="C8" s="1630"/>
      <c r="D8" s="1630"/>
    </row>
    <row r="9" spans="1:4" ht="12.75" thickBot="1">
      <c r="A9" s="1646" t="s">
        <v>813</v>
      </c>
      <c r="B9" s="1646"/>
      <c r="C9" s="1646"/>
      <c r="D9" s="1646"/>
    </row>
    <row r="10" spans="1:4" ht="20.100000000000001" customHeight="1">
      <c r="A10" s="807" t="s">
        <v>416</v>
      </c>
      <c r="B10" s="808" t="str">
        <f>_ExerFin</f>
        <v xml:space="preserve"> 31/12/2025</v>
      </c>
      <c r="C10" s="808" t="str">
        <f>_ExerFin1</f>
        <v xml:space="preserve"> 31/12/2024</v>
      </c>
      <c r="D10" s="809" t="s">
        <v>761</v>
      </c>
    </row>
    <row r="11" spans="1:4" ht="20.100000000000001" customHeight="1">
      <c r="A11" s="814" t="s">
        <v>814</v>
      </c>
      <c r="B11" s="928">
        <v>0</v>
      </c>
      <c r="C11" s="928">
        <v>0</v>
      </c>
      <c r="D11" s="929">
        <f>IF(C11=0,0,(B11-C11)/C11)*100</f>
        <v>0</v>
      </c>
    </row>
    <row r="12" spans="1:4" ht="20.100000000000001" customHeight="1">
      <c r="A12" s="814" t="s">
        <v>815</v>
      </c>
      <c r="B12" s="928">
        <v>0</v>
      </c>
      <c r="C12" s="928">
        <v>0</v>
      </c>
      <c r="D12" s="929">
        <f t="shared" ref="D12:D35" si="0">IF(C12=0,0,(B12-C12)/C12)*100</f>
        <v>0</v>
      </c>
    </row>
    <row r="13" spans="1:4" ht="20.100000000000001" customHeight="1" thickBot="1">
      <c r="A13" s="228" t="s">
        <v>816</v>
      </c>
      <c r="B13" s="932">
        <v>0</v>
      </c>
      <c r="C13" s="932">
        <v>0</v>
      </c>
      <c r="D13" s="929">
        <f t="shared" si="0"/>
        <v>0</v>
      </c>
    </row>
    <row r="14" spans="1:4" ht="20.100000000000001" customHeight="1" thickBot="1">
      <c r="A14" s="234" t="s">
        <v>817</v>
      </c>
      <c r="B14" s="997">
        <f>SUM(B11:B13)</f>
        <v>0</v>
      </c>
      <c r="C14" s="997">
        <f>SUM(C11:C13)</f>
        <v>0</v>
      </c>
      <c r="D14" s="997">
        <f t="shared" si="0"/>
        <v>0</v>
      </c>
    </row>
    <row r="15" spans="1:4" ht="20.100000000000001" customHeight="1">
      <c r="A15" s="231" t="s">
        <v>7</v>
      </c>
      <c r="B15" s="924"/>
      <c r="C15" s="924"/>
      <c r="D15" s="929"/>
    </row>
    <row r="16" spans="1:4" ht="20.100000000000001" customHeight="1">
      <c r="A16" s="814" t="s">
        <v>814</v>
      </c>
      <c r="B16" s="928">
        <v>0</v>
      </c>
      <c r="C16" s="928">
        <v>0</v>
      </c>
      <c r="D16" s="929">
        <f t="shared" si="0"/>
        <v>0</v>
      </c>
    </row>
    <row r="17" spans="1:4" ht="20.100000000000001" customHeight="1">
      <c r="A17" s="814" t="s">
        <v>815</v>
      </c>
      <c r="B17" s="928">
        <v>0</v>
      </c>
      <c r="C17" s="928">
        <v>0</v>
      </c>
      <c r="D17" s="929">
        <f t="shared" si="0"/>
        <v>0</v>
      </c>
    </row>
    <row r="18" spans="1:4" ht="20.100000000000001" customHeight="1" thickBot="1">
      <c r="A18" s="228" t="s">
        <v>816</v>
      </c>
      <c r="B18" s="932">
        <v>0</v>
      </c>
      <c r="C18" s="932">
        <v>0</v>
      </c>
      <c r="D18" s="929">
        <f t="shared" si="0"/>
        <v>0</v>
      </c>
    </row>
    <row r="19" spans="1:4" ht="20.100000000000001" customHeight="1" thickBot="1">
      <c r="A19" s="234" t="s">
        <v>818</v>
      </c>
      <c r="B19" s="997">
        <f>SUM(B15:B18)</f>
        <v>0</v>
      </c>
      <c r="C19" s="997">
        <f>SUM(C15:C18)</f>
        <v>0</v>
      </c>
      <c r="D19" s="997">
        <f t="shared" si="0"/>
        <v>0</v>
      </c>
    </row>
    <row r="20" spans="1:4" ht="20.100000000000001" customHeight="1">
      <c r="A20" s="231" t="s">
        <v>7</v>
      </c>
      <c r="B20" s="924"/>
      <c r="C20" s="924"/>
      <c r="D20" s="929"/>
    </row>
    <row r="21" spans="1:4" ht="20.100000000000001" customHeight="1">
      <c r="A21" s="814" t="s">
        <v>819</v>
      </c>
      <c r="B21" s="928">
        <v>0</v>
      </c>
      <c r="C21" s="928">
        <v>0</v>
      </c>
      <c r="D21" s="929">
        <f t="shared" si="0"/>
        <v>0</v>
      </c>
    </row>
    <row r="22" spans="1:4" ht="20.100000000000001" customHeight="1">
      <c r="A22" s="814" t="s">
        <v>820</v>
      </c>
      <c r="B22" s="928">
        <v>0</v>
      </c>
      <c r="C22" s="928">
        <v>0</v>
      </c>
      <c r="D22" s="929">
        <f t="shared" si="0"/>
        <v>0</v>
      </c>
    </row>
    <row r="23" spans="1:4" ht="20.100000000000001" customHeight="1">
      <c r="A23" s="814" t="s">
        <v>821</v>
      </c>
      <c r="B23" s="928">
        <v>0</v>
      </c>
      <c r="C23" s="928">
        <v>0</v>
      </c>
      <c r="D23" s="929">
        <f t="shared" si="0"/>
        <v>0</v>
      </c>
    </row>
    <row r="24" spans="1:4" ht="20.100000000000001" customHeight="1">
      <c r="A24" s="814" t="s">
        <v>822</v>
      </c>
      <c r="B24" s="928">
        <v>0</v>
      </c>
      <c r="C24" s="928">
        <v>0</v>
      </c>
      <c r="D24" s="929">
        <f t="shared" si="0"/>
        <v>0</v>
      </c>
    </row>
    <row r="25" spans="1:4" ht="20.100000000000001" customHeight="1">
      <c r="A25" s="814" t="s">
        <v>823</v>
      </c>
      <c r="B25" s="928">
        <v>0</v>
      </c>
      <c r="C25" s="928">
        <v>0</v>
      </c>
      <c r="D25" s="929">
        <f t="shared" si="0"/>
        <v>0</v>
      </c>
    </row>
    <row r="26" spans="1:4" ht="20.100000000000001" customHeight="1">
      <c r="A26" s="814" t="s">
        <v>824</v>
      </c>
      <c r="B26" s="928">
        <v>0</v>
      </c>
      <c r="C26" s="928">
        <v>0</v>
      </c>
      <c r="D26" s="929">
        <f t="shared" si="0"/>
        <v>0</v>
      </c>
    </row>
    <row r="27" spans="1:4" ht="20.100000000000001" customHeight="1">
      <c r="A27" s="814" t="s">
        <v>825</v>
      </c>
      <c r="B27" s="928">
        <v>0</v>
      </c>
      <c r="C27" s="928">
        <v>0</v>
      </c>
      <c r="D27" s="929">
        <f t="shared" si="0"/>
        <v>0</v>
      </c>
    </row>
    <row r="28" spans="1:4" ht="20.100000000000001" customHeight="1">
      <c r="A28" s="814" t="s">
        <v>826</v>
      </c>
      <c r="B28" s="928">
        <v>0</v>
      </c>
      <c r="C28" s="928">
        <v>0</v>
      </c>
      <c r="D28" s="929">
        <f t="shared" si="0"/>
        <v>0</v>
      </c>
    </row>
    <row r="29" spans="1:4" ht="20.100000000000001" customHeight="1">
      <c r="A29" s="814" t="s">
        <v>827</v>
      </c>
      <c r="B29" s="928">
        <v>0</v>
      </c>
      <c r="C29" s="928">
        <v>0</v>
      </c>
      <c r="D29" s="929">
        <f t="shared" si="0"/>
        <v>0</v>
      </c>
    </row>
    <row r="30" spans="1:4" ht="20.100000000000001" customHeight="1">
      <c r="A30" s="814" t="s">
        <v>828</v>
      </c>
      <c r="B30" s="928">
        <v>0</v>
      </c>
      <c r="C30" s="928">
        <v>0</v>
      </c>
      <c r="D30" s="929">
        <f t="shared" si="0"/>
        <v>0</v>
      </c>
    </row>
    <row r="31" spans="1:4" ht="26.25" customHeight="1">
      <c r="A31" s="814" t="s">
        <v>829</v>
      </c>
      <c r="B31" s="928">
        <v>0</v>
      </c>
      <c r="C31" s="928">
        <v>0</v>
      </c>
      <c r="D31" s="929">
        <f t="shared" si="0"/>
        <v>0</v>
      </c>
    </row>
    <row r="32" spans="1:4" ht="20.100000000000001" customHeight="1">
      <c r="A32" s="814" t="s">
        <v>830</v>
      </c>
      <c r="B32" s="928">
        <v>0</v>
      </c>
      <c r="C32" s="928">
        <v>0</v>
      </c>
      <c r="D32" s="929">
        <f t="shared" si="0"/>
        <v>0</v>
      </c>
    </row>
    <row r="33" spans="1:4" ht="20.100000000000001" customHeight="1">
      <c r="A33" s="814" t="s">
        <v>831</v>
      </c>
      <c r="B33" s="928">
        <v>0</v>
      </c>
      <c r="C33" s="928">
        <v>0</v>
      </c>
      <c r="D33" s="929">
        <f t="shared" si="0"/>
        <v>0</v>
      </c>
    </row>
    <row r="34" spans="1:4" ht="20.100000000000001" customHeight="1" thickBot="1">
      <c r="A34" s="228" t="s">
        <v>832</v>
      </c>
      <c r="B34" s="932">
        <v>0</v>
      </c>
      <c r="C34" s="932">
        <v>0</v>
      </c>
      <c r="D34" s="929">
        <f t="shared" si="0"/>
        <v>0</v>
      </c>
    </row>
    <row r="35" spans="1:4" ht="20.100000000000001" customHeight="1" thickBot="1">
      <c r="A35" s="234" t="s">
        <v>833</v>
      </c>
      <c r="B35" s="997">
        <f>SUM(B20:B33)</f>
        <v>0</v>
      </c>
      <c r="C35" s="997">
        <f>SUM(C20:C33)</f>
        <v>0</v>
      </c>
      <c r="D35" s="997">
        <f t="shared" si="0"/>
        <v>0</v>
      </c>
    </row>
    <row r="36" spans="1:4">
      <c r="A36" s="243" t="s">
        <v>0</v>
      </c>
    </row>
    <row r="37" spans="1:4">
      <c r="A37" s="167" t="s">
        <v>563</v>
      </c>
    </row>
    <row r="38" spans="1:4">
      <c r="A38" s="172" t="s">
        <v>944</v>
      </c>
    </row>
  </sheetData>
  <mergeCells count="4">
    <mergeCell ref="A8:D8"/>
    <mergeCell ref="A9:D9"/>
    <mergeCell ref="B5:D5"/>
    <mergeCell ref="B6:D6"/>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Zeros="0" workbookViewId="0">
      <selection activeCell="C15" sqref="C15"/>
    </sheetView>
  </sheetViews>
  <sheetFormatPr baseColWidth="10" defaultRowHeight="12"/>
  <cols>
    <col min="1" max="1" width="42.5703125" style="87" customWidth="1"/>
    <col min="2" max="3" width="15.7109375" style="87" customWidth="1"/>
    <col min="4" max="16384" width="11.42578125" style="87"/>
  </cols>
  <sheetData>
    <row r="1" spans="1:7">
      <c r="A1" s="357"/>
    </row>
    <row r="2" spans="1:7">
      <c r="A2" s="259" t="s">
        <v>0</v>
      </c>
    </row>
    <row r="3" spans="1:7">
      <c r="A3" s="259"/>
    </row>
    <row r="4" spans="1:7" ht="15" customHeight="1">
      <c r="A4" s="4" t="str">
        <f>_soNom</f>
        <v>Cecotra</v>
      </c>
      <c r="C4" s="1640" t="str">
        <f>_ExerClos</f>
        <v>Exercice clos le 31/12/2025</v>
      </c>
      <c r="D4" s="1640"/>
    </row>
    <row r="5" spans="1:7" ht="15" customHeight="1">
      <c r="A5" s="6" t="str">
        <f>_soId</f>
        <v> 3201810353457</v>
      </c>
      <c r="C5" s="1640" t="str">
        <f>_Duree</f>
        <v>Durée (en mois) 12</v>
      </c>
      <c r="D5" s="1640"/>
    </row>
    <row r="6" spans="1:7">
      <c r="A6" s="73" t="s">
        <v>0</v>
      </c>
    </row>
    <row r="7" spans="1:7" ht="14.25">
      <c r="A7" s="1559" t="s">
        <v>945</v>
      </c>
      <c r="B7" s="1559"/>
      <c r="C7" s="1559"/>
      <c r="D7" s="1559"/>
      <c r="E7" s="244"/>
      <c r="F7" s="244"/>
      <c r="G7" s="244"/>
    </row>
    <row r="8" spans="1:7" ht="15" thickBot="1">
      <c r="A8" s="1583" t="s">
        <v>834</v>
      </c>
      <c r="B8" s="1583"/>
      <c r="C8" s="1583"/>
      <c r="D8" s="1583"/>
      <c r="E8" s="221"/>
      <c r="F8" s="221"/>
      <c r="G8" s="221"/>
    </row>
    <row r="9" spans="1:7" ht="21.75" customHeight="1">
      <c r="A9" s="813" t="s">
        <v>610</v>
      </c>
      <c r="B9" s="808" t="str">
        <f>_ExerFin</f>
        <v xml:space="preserve"> 31/12/2025</v>
      </c>
      <c r="C9" s="808" t="str">
        <f>_ExerFin1</f>
        <v xml:space="preserve"> 31/12/2024</v>
      </c>
      <c r="D9" s="809" t="s">
        <v>417</v>
      </c>
    </row>
    <row r="10" spans="1:7" ht="20.100000000000001" customHeight="1">
      <c r="A10" s="814" t="s">
        <v>835</v>
      </c>
      <c r="B10" s="928">
        <v>0</v>
      </c>
      <c r="C10" s="928">
        <v>0</v>
      </c>
      <c r="D10" s="1024">
        <f>IF(C10=0,0,(B10-C10)/C10)*100</f>
        <v>0</v>
      </c>
    </row>
    <row r="11" spans="1:7" ht="20.100000000000001" customHeight="1">
      <c r="A11" s="814" t="s">
        <v>836</v>
      </c>
      <c r="B11" s="928">
        <v>0</v>
      </c>
      <c r="C11" s="928">
        <v>0</v>
      </c>
      <c r="D11" s="1024">
        <f t="shared" ref="D11:D15" si="0">IF(C11=0,0,(B11-C11)/C11)*100</f>
        <v>0</v>
      </c>
    </row>
    <row r="12" spans="1:7" ht="20.100000000000001" customHeight="1">
      <c r="A12" s="814" t="s">
        <v>837</v>
      </c>
      <c r="B12" s="928">
        <v>0</v>
      </c>
      <c r="C12" s="928">
        <v>0</v>
      </c>
      <c r="D12" s="1024">
        <f t="shared" si="0"/>
        <v>0</v>
      </c>
    </row>
    <row r="13" spans="1:7" ht="20.100000000000001" customHeight="1">
      <c r="A13" s="814" t="s">
        <v>838</v>
      </c>
      <c r="B13" s="928">
        <v>0</v>
      </c>
      <c r="C13" s="928">
        <v>0</v>
      </c>
      <c r="D13" s="1024">
        <f t="shared" si="0"/>
        <v>0</v>
      </c>
    </row>
    <row r="14" spans="1:7" ht="20.100000000000001" customHeight="1" thickBot="1">
      <c r="A14" s="814" t="s">
        <v>839</v>
      </c>
      <c r="B14" s="928">
        <v>0</v>
      </c>
      <c r="C14" s="928">
        <v>0</v>
      </c>
      <c r="D14" s="1024">
        <f t="shared" si="0"/>
        <v>0</v>
      </c>
    </row>
    <row r="15" spans="1:7" ht="20.100000000000001" customHeight="1" thickBot="1">
      <c r="A15" s="234" t="s">
        <v>812</v>
      </c>
      <c r="B15" s="997">
        <f>SUM(B10:B14)</f>
        <v>0</v>
      </c>
      <c r="C15" s="997">
        <f>SUM(C10:C14)</f>
        <v>0</v>
      </c>
      <c r="D15" s="997">
        <f t="shared" si="0"/>
        <v>0</v>
      </c>
    </row>
    <row r="16" spans="1:7">
      <c r="A16" s="167" t="s">
        <v>563</v>
      </c>
    </row>
    <row r="17" spans="1:1">
      <c r="A17" s="172" t="s">
        <v>944</v>
      </c>
    </row>
    <row r="18" spans="1:1">
      <c r="A18" s="259" t="s">
        <v>0</v>
      </c>
    </row>
    <row r="19" spans="1:1">
      <c r="A19" s="259" t="s">
        <v>0</v>
      </c>
    </row>
    <row r="20" spans="1:1">
      <c r="A20" s="259" t="s">
        <v>0</v>
      </c>
    </row>
    <row r="21" spans="1:1">
      <c r="A21" s="259" t="s">
        <v>0</v>
      </c>
    </row>
    <row r="22" spans="1:1">
      <c r="A22" s="259" t="s">
        <v>0</v>
      </c>
    </row>
  </sheetData>
  <mergeCells count="4">
    <mergeCell ref="A8:D8"/>
    <mergeCell ref="A7:D7"/>
    <mergeCell ref="C4:D4"/>
    <mergeCell ref="C5:D5"/>
  </mergeCell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showZeros="0" topLeftCell="A7" workbookViewId="0">
      <selection activeCell="C24" sqref="C24"/>
    </sheetView>
  </sheetViews>
  <sheetFormatPr baseColWidth="10" defaultRowHeight="12"/>
  <cols>
    <col min="1" max="1" width="53.42578125" style="87" customWidth="1"/>
    <col min="2" max="3" width="15.7109375" style="87" customWidth="1"/>
    <col min="4" max="4" width="10.7109375" style="87" customWidth="1"/>
    <col min="5" max="16384" width="11.42578125" style="87"/>
  </cols>
  <sheetData>
    <row r="1" spans="1:7">
      <c r="A1" s="209"/>
    </row>
    <row r="2" spans="1:7">
      <c r="A2" s="259" t="s">
        <v>0</v>
      </c>
    </row>
    <row r="3" spans="1:7">
      <c r="A3" s="73"/>
    </row>
    <row r="4" spans="1:7" ht="15" customHeight="1">
      <c r="A4" s="4" t="str">
        <f>_soNom</f>
        <v>Cecotra</v>
      </c>
      <c r="C4" s="1640" t="str">
        <f>_ExerClos</f>
        <v>Exercice clos le 31/12/2025</v>
      </c>
      <c r="D4" s="1640"/>
    </row>
    <row r="5" spans="1:7" ht="15" customHeight="1">
      <c r="A5" s="6" t="str">
        <f>_soId</f>
        <v> 3201810353457</v>
      </c>
      <c r="C5" s="1640" t="str">
        <f>_Duree</f>
        <v>Durée (en mois) 12</v>
      </c>
      <c r="D5" s="1640"/>
    </row>
    <row r="6" spans="1:7">
      <c r="A6" s="73" t="s">
        <v>0</v>
      </c>
    </row>
    <row r="7" spans="1:7" ht="14.25">
      <c r="A7" s="1577" t="s">
        <v>946</v>
      </c>
      <c r="B7" s="1577"/>
      <c r="C7" s="1577"/>
      <c r="D7" s="1577"/>
      <c r="E7" s="547"/>
      <c r="F7" s="547"/>
      <c r="G7" s="547"/>
    </row>
    <row r="8" spans="1:7" ht="15" thickBot="1">
      <c r="A8" s="1583" t="s">
        <v>840</v>
      </c>
      <c r="B8" s="1583"/>
      <c r="C8" s="1583"/>
      <c r="D8" s="1583"/>
      <c r="E8" s="546"/>
      <c r="F8" s="546"/>
      <c r="G8" s="546"/>
    </row>
    <row r="9" spans="1:7" ht="23.25" customHeight="1">
      <c r="A9" s="188" t="s">
        <v>416</v>
      </c>
      <c r="B9" s="189" t="str">
        <f>_ExerFin</f>
        <v xml:space="preserve"> 31/12/2025</v>
      </c>
      <c r="C9" s="189" t="str">
        <f>_ExerFin1</f>
        <v xml:space="preserve"> 31/12/2024</v>
      </c>
      <c r="D9" s="190" t="s">
        <v>417</v>
      </c>
    </row>
    <row r="10" spans="1:7" ht="20.100000000000001" customHeight="1">
      <c r="A10" s="224" t="s">
        <v>841</v>
      </c>
      <c r="B10" s="928">
        <v>0</v>
      </c>
      <c r="C10" s="928">
        <v>0</v>
      </c>
      <c r="D10" s="1024">
        <f>IF(C10=0,0,(B10-C10)/C10)*100</f>
        <v>0</v>
      </c>
    </row>
    <row r="11" spans="1:7" ht="20.100000000000001" customHeight="1">
      <c r="A11" s="224" t="s">
        <v>842</v>
      </c>
      <c r="B11" s="928">
        <v>480000</v>
      </c>
      <c r="C11" s="928">
        <v>0</v>
      </c>
      <c r="D11" s="1024">
        <f t="shared" ref="D11:D24" si="0">IF(C11=0,0,(B11-C11)/C11)*100</f>
        <v>0</v>
      </c>
    </row>
    <row r="12" spans="1:7" ht="20.100000000000001" customHeight="1">
      <c r="A12" s="224" t="s">
        <v>843</v>
      </c>
      <c r="B12" s="928">
        <v>0</v>
      </c>
      <c r="C12" s="928">
        <v>0</v>
      </c>
      <c r="D12" s="1024">
        <f t="shared" si="0"/>
        <v>0</v>
      </c>
    </row>
    <row r="13" spans="1:7" ht="20.100000000000001" customHeight="1">
      <c r="A13" s="224" t="s">
        <v>844</v>
      </c>
      <c r="B13" s="928">
        <v>0</v>
      </c>
      <c r="C13" s="928">
        <v>0</v>
      </c>
      <c r="D13" s="1024">
        <f t="shared" si="0"/>
        <v>0</v>
      </c>
    </row>
    <row r="14" spans="1:7" ht="20.100000000000001" customHeight="1">
      <c r="A14" s="224" t="s">
        <v>845</v>
      </c>
      <c r="B14" s="928">
        <v>0</v>
      </c>
      <c r="C14" s="928">
        <v>0</v>
      </c>
      <c r="D14" s="1024">
        <f t="shared" si="0"/>
        <v>0</v>
      </c>
    </row>
    <row r="15" spans="1:7" ht="20.100000000000001" customHeight="1">
      <c r="A15" s="224" t="s">
        <v>846</v>
      </c>
      <c r="B15" s="928">
        <v>0</v>
      </c>
      <c r="C15" s="928">
        <v>0</v>
      </c>
      <c r="D15" s="1024">
        <f t="shared" si="0"/>
        <v>0</v>
      </c>
    </row>
    <row r="16" spans="1:7" ht="20.100000000000001" customHeight="1">
      <c r="A16" s="224" t="s">
        <v>847</v>
      </c>
      <c r="B16" s="928">
        <v>0</v>
      </c>
      <c r="C16" s="928">
        <v>0</v>
      </c>
      <c r="D16" s="1024">
        <f t="shared" si="0"/>
        <v>0</v>
      </c>
    </row>
    <row r="17" spans="1:4" ht="20.100000000000001" customHeight="1">
      <c r="A17" s="224" t="s">
        <v>848</v>
      </c>
      <c r="B17" s="928">
        <v>0</v>
      </c>
      <c r="C17" s="928">
        <v>0</v>
      </c>
      <c r="D17" s="1024">
        <f t="shared" si="0"/>
        <v>0</v>
      </c>
    </row>
    <row r="18" spans="1:4" ht="20.100000000000001" customHeight="1">
      <c r="A18" s="224" t="s">
        <v>849</v>
      </c>
      <c r="B18" s="928">
        <v>266886</v>
      </c>
      <c r="C18" s="928">
        <v>0</v>
      </c>
      <c r="D18" s="1024">
        <f t="shared" si="0"/>
        <v>0</v>
      </c>
    </row>
    <row r="19" spans="1:4" ht="20.100000000000001" customHeight="1">
      <c r="A19" s="224" t="s">
        <v>850</v>
      </c>
      <c r="B19" s="928">
        <v>0</v>
      </c>
      <c r="C19" s="928">
        <v>0</v>
      </c>
      <c r="D19" s="1024">
        <f t="shared" si="0"/>
        <v>0</v>
      </c>
    </row>
    <row r="20" spans="1:4" ht="20.100000000000001" customHeight="1">
      <c r="A20" s="224" t="s">
        <v>851</v>
      </c>
      <c r="B20" s="928">
        <v>0</v>
      </c>
      <c r="C20" s="928">
        <v>0</v>
      </c>
      <c r="D20" s="1024">
        <f t="shared" si="0"/>
        <v>0</v>
      </c>
    </row>
    <row r="21" spans="1:4" ht="27" customHeight="1">
      <c r="A21" s="224" t="s">
        <v>852</v>
      </c>
      <c r="B21" s="928">
        <v>0</v>
      </c>
      <c r="C21" s="928">
        <v>0</v>
      </c>
      <c r="D21" s="1024">
        <f t="shared" si="0"/>
        <v>0</v>
      </c>
    </row>
    <row r="22" spans="1:4" ht="20.100000000000001" customHeight="1">
      <c r="A22" s="224" t="s">
        <v>853</v>
      </c>
      <c r="B22" s="928">
        <v>0</v>
      </c>
      <c r="C22" s="928">
        <v>0</v>
      </c>
      <c r="D22" s="1024">
        <f t="shared" si="0"/>
        <v>0</v>
      </c>
    </row>
    <row r="23" spans="1:4" ht="20.100000000000001" customHeight="1" thickBot="1">
      <c r="A23" s="224" t="s">
        <v>854</v>
      </c>
      <c r="B23" s="928">
        <v>0</v>
      </c>
      <c r="C23" s="928">
        <v>0</v>
      </c>
      <c r="D23" s="1024">
        <f t="shared" si="0"/>
        <v>0</v>
      </c>
    </row>
    <row r="24" spans="1:4" ht="20.100000000000001" customHeight="1" thickBot="1">
      <c r="A24" s="234" t="s">
        <v>812</v>
      </c>
      <c r="B24" s="997">
        <f>SUM(B10:B23)</f>
        <v>746886</v>
      </c>
      <c r="C24" s="997">
        <f>SUM(C10:C23)</f>
        <v>0</v>
      </c>
      <c r="D24" s="997">
        <f t="shared" si="0"/>
        <v>0</v>
      </c>
    </row>
    <row r="25" spans="1:4">
      <c r="A25" s="167" t="s">
        <v>563</v>
      </c>
    </row>
    <row r="26" spans="1:4">
      <c r="A26" s="172" t="s">
        <v>944</v>
      </c>
    </row>
    <row r="27" spans="1:4">
      <c r="A27" s="259" t="s">
        <v>0</v>
      </c>
      <c r="B27" s="821"/>
    </row>
    <row r="28" spans="1:4">
      <c r="A28" s="259" t="s">
        <v>0</v>
      </c>
    </row>
    <row r="29" spans="1:4">
      <c r="A29" s="259"/>
    </row>
    <row r="30" spans="1:4">
      <c r="A30" s="259"/>
    </row>
  </sheetData>
  <mergeCells count="4">
    <mergeCell ref="A8:D8"/>
    <mergeCell ref="A7:D7"/>
    <mergeCell ref="C4:D4"/>
    <mergeCell ref="C5:D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opLeftCell="A4" workbookViewId="0">
      <selection activeCell="C19" sqref="C19"/>
    </sheetView>
  </sheetViews>
  <sheetFormatPr baseColWidth="10" defaultRowHeight="15"/>
  <cols>
    <col min="1" max="1" width="43.42578125" customWidth="1"/>
    <col min="2" max="3" width="15.7109375" customWidth="1"/>
  </cols>
  <sheetData>
    <row r="1" spans="1:7" ht="15.75">
      <c r="A1" s="83"/>
    </row>
    <row r="2" spans="1:7" ht="15.75">
      <c r="A2" s="83"/>
    </row>
    <row r="3" spans="1:7">
      <c r="A3" s="78"/>
    </row>
    <row r="5" spans="1:7" ht="15" customHeight="1">
      <c r="A5" s="4" t="str">
        <f>_soNom</f>
        <v>Cecotra</v>
      </c>
      <c r="C5" s="1640" t="str">
        <f>_ExerClos</f>
        <v>Exercice clos le 31/12/2025</v>
      </c>
      <c r="D5" s="1640"/>
    </row>
    <row r="6" spans="1:7">
      <c r="A6" s="6" t="str">
        <f>_soId</f>
        <v> 3201810353457</v>
      </c>
      <c r="C6" s="1640" t="str">
        <f>_Duree</f>
        <v>Durée (en mois) 12</v>
      </c>
      <c r="D6" s="1640"/>
    </row>
    <row r="7" spans="1:7" ht="15.75">
      <c r="A7" s="83" t="s">
        <v>0</v>
      </c>
    </row>
    <row r="8" spans="1:7" ht="15.75">
      <c r="A8" s="1647" t="s">
        <v>855</v>
      </c>
      <c r="B8" s="1647"/>
      <c r="C8" s="1647"/>
      <c r="D8" s="1647"/>
      <c r="E8" s="310"/>
      <c r="F8" s="310"/>
      <c r="G8" s="310"/>
    </row>
    <row r="9" spans="1:7" ht="16.5" thickBot="1">
      <c r="A9" s="1648" t="s">
        <v>856</v>
      </c>
      <c r="B9" s="1648"/>
      <c r="C9" s="1648"/>
      <c r="D9" s="1648"/>
      <c r="E9" s="79"/>
      <c r="F9" s="79"/>
      <c r="G9" s="79"/>
    </row>
    <row r="10" spans="1:7" ht="24.75" thickBot="1">
      <c r="A10" s="191" t="s">
        <v>416</v>
      </c>
      <c r="B10" s="192" t="str">
        <f>_ExerFin</f>
        <v xml:space="preserve"> 31/12/2025</v>
      </c>
      <c r="C10" s="192" t="str">
        <f>_ExerFin1</f>
        <v xml:space="preserve"> 31/12/2024</v>
      </c>
      <c r="D10" s="193" t="s">
        <v>417</v>
      </c>
    </row>
    <row r="11" spans="1:7">
      <c r="A11" s="238" t="s">
        <v>857</v>
      </c>
      <c r="B11" s="924">
        <v>124800</v>
      </c>
      <c r="C11" s="924">
        <v>0</v>
      </c>
      <c r="D11" s="1012">
        <f>IF(C11=0,0,(B11-C11)/C11)*100</f>
        <v>0</v>
      </c>
    </row>
    <row r="12" spans="1:7">
      <c r="A12" s="224" t="s">
        <v>858</v>
      </c>
      <c r="B12" s="928">
        <v>0</v>
      </c>
      <c r="C12" s="928">
        <v>0</v>
      </c>
      <c r="D12" s="1012">
        <f t="shared" ref="D12:D16" si="0">IF(C12=0,0,(B12-C12)/C12)*100</f>
        <v>0</v>
      </c>
    </row>
    <row r="13" spans="1:7">
      <c r="A13" s="224" t="s">
        <v>859</v>
      </c>
      <c r="B13" s="928">
        <v>0</v>
      </c>
      <c r="C13" s="928">
        <v>0</v>
      </c>
      <c r="D13" s="1012">
        <f t="shared" si="0"/>
        <v>0</v>
      </c>
    </row>
    <row r="14" spans="1:7">
      <c r="A14" s="224" t="s">
        <v>860</v>
      </c>
      <c r="B14" s="928">
        <v>0</v>
      </c>
      <c r="C14" s="928">
        <v>0</v>
      </c>
      <c r="D14" s="1012">
        <f t="shared" si="0"/>
        <v>0</v>
      </c>
    </row>
    <row r="15" spans="1:7" ht="15.75" thickBot="1">
      <c r="A15" s="224" t="s">
        <v>861</v>
      </c>
      <c r="B15" s="928">
        <v>0</v>
      </c>
      <c r="C15" s="928">
        <v>0</v>
      </c>
      <c r="D15" s="1012">
        <f t="shared" si="0"/>
        <v>0</v>
      </c>
    </row>
    <row r="16" spans="1:7" ht="15.75" thickBot="1">
      <c r="A16" s="234" t="s">
        <v>947</v>
      </c>
      <c r="B16" s="1041">
        <f>SUM(B11:B15)</f>
        <v>124800</v>
      </c>
      <c r="C16" s="1041">
        <f t="shared" ref="C16" si="1">SUM(C11:C15)</f>
        <v>0</v>
      </c>
      <c r="D16" s="1041">
        <f t="shared" si="0"/>
        <v>0</v>
      </c>
    </row>
    <row r="17" spans="1:1">
      <c r="A17" s="167" t="s">
        <v>612</v>
      </c>
    </row>
    <row r="18" spans="1:1">
      <c r="A18" s="168" t="s">
        <v>934</v>
      </c>
    </row>
    <row r="19" spans="1:1">
      <c r="A19" s="168" t="s">
        <v>948</v>
      </c>
    </row>
    <row r="20" spans="1:1" ht="15.75">
      <c r="A20" s="83" t="s">
        <v>0</v>
      </c>
    </row>
  </sheetData>
  <mergeCells count="4">
    <mergeCell ref="A8:D8"/>
    <mergeCell ref="A9:D9"/>
    <mergeCell ref="C5:D5"/>
    <mergeCell ref="C6:D6"/>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showZeros="0" topLeftCell="A7" workbookViewId="0">
      <selection activeCell="C20" sqref="C20"/>
    </sheetView>
  </sheetViews>
  <sheetFormatPr baseColWidth="10" defaultRowHeight="12"/>
  <cols>
    <col min="1" max="1" width="54.140625" style="87" customWidth="1"/>
    <col min="2" max="2" width="14.28515625" style="87" customWidth="1"/>
    <col min="3" max="3" width="14.85546875" style="87" customWidth="1"/>
    <col min="4" max="4" width="13.28515625" style="87" bestFit="1" customWidth="1"/>
    <col min="5" max="16384" width="11.42578125" style="87"/>
  </cols>
  <sheetData>
    <row r="1" spans="1:7">
      <c r="A1" s="358"/>
    </row>
    <row r="2" spans="1:7">
      <c r="A2" s="259" t="s">
        <v>0</v>
      </c>
    </row>
    <row r="3" spans="1:7">
      <c r="A3" s="259"/>
    </row>
    <row r="4" spans="1:7" ht="15" customHeight="1">
      <c r="A4" s="4" t="str">
        <f>_soNom</f>
        <v>Cecotra</v>
      </c>
      <c r="C4" s="1640" t="str">
        <f>_ExerClos</f>
        <v>Exercice clos le 31/12/2025</v>
      </c>
      <c r="D4" s="1640"/>
    </row>
    <row r="5" spans="1:7" ht="15" customHeight="1">
      <c r="A5" s="6" t="str">
        <f>_soId</f>
        <v> 3201810353457</v>
      </c>
      <c r="C5" s="1640" t="str">
        <f>_Duree</f>
        <v>Durée (en mois) 12</v>
      </c>
      <c r="D5" s="1640"/>
    </row>
    <row r="6" spans="1:7">
      <c r="A6" s="209"/>
    </row>
    <row r="7" spans="1:7" ht="15">
      <c r="A7" s="1528" t="s">
        <v>951</v>
      </c>
      <c r="B7" s="1528"/>
      <c r="C7" s="1528"/>
      <c r="D7" s="1528"/>
      <c r="E7" s="548"/>
      <c r="F7" s="548"/>
      <c r="G7" s="548"/>
    </row>
    <row r="8" spans="1:7" ht="15" thickBot="1">
      <c r="A8" s="1583" t="s">
        <v>862</v>
      </c>
      <c r="B8" s="1583"/>
      <c r="C8" s="1583"/>
      <c r="D8" s="1583"/>
      <c r="E8" s="546"/>
      <c r="F8" s="546"/>
      <c r="G8" s="546"/>
    </row>
    <row r="9" spans="1:7" ht="22.5" customHeight="1" thickBot="1">
      <c r="A9" s="844" t="s">
        <v>416</v>
      </c>
      <c r="B9" s="845" t="str">
        <f>_ExerFin</f>
        <v xml:space="preserve"> 31/12/2025</v>
      </c>
      <c r="C9" s="845" t="str">
        <f>_ExerFin1</f>
        <v xml:space="preserve"> 31/12/2024</v>
      </c>
      <c r="D9" s="846" t="s">
        <v>417</v>
      </c>
    </row>
    <row r="10" spans="1:7" ht="20.100000000000001" customHeight="1">
      <c r="A10" s="238" t="s">
        <v>863</v>
      </c>
      <c r="B10" s="924">
        <v>0</v>
      </c>
      <c r="C10" s="924">
        <v>0</v>
      </c>
      <c r="D10" s="925">
        <f>IF(C10=0,0,(B10-C10)/C10)*100</f>
        <v>0</v>
      </c>
    </row>
    <row r="11" spans="1:7" ht="20.100000000000001" customHeight="1">
      <c r="A11" s="814" t="s">
        <v>864</v>
      </c>
      <c r="B11" s="928">
        <v>0</v>
      </c>
      <c r="C11" s="928">
        <v>0</v>
      </c>
      <c r="D11" s="925">
        <f t="shared" ref="D11:D19" si="0">IF(C11=0,0,(B11-C11)/C11)*100</f>
        <v>0</v>
      </c>
    </row>
    <row r="12" spans="1:7" ht="20.100000000000001" customHeight="1">
      <c r="A12" s="814" t="s">
        <v>865</v>
      </c>
      <c r="B12" s="928">
        <v>0</v>
      </c>
      <c r="C12" s="928">
        <v>0</v>
      </c>
      <c r="D12" s="925">
        <f t="shared" si="0"/>
        <v>0</v>
      </c>
    </row>
    <row r="13" spans="1:7" ht="15.75" customHeight="1">
      <c r="A13" s="814" t="s">
        <v>866</v>
      </c>
      <c r="B13" s="928">
        <v>0</v>
      </c>
      <c r="C13" s="928">
        <v>0</v>
      </c>
      <c r="D13" s="925">
        <f t="shared" si="0"/>
        <v>0</v>
      </c>
    </row>
    <row r="14" spans="1:7">
      <c r="A14" s="814" t="s">
        <v>867</v>
      </c>
      <c r="B14" s="928">
        <v>0</v>
      </c>
      <c r="C14" s="928">
        <v>0</v>
      </c>
      <c r="D14" s="925">
        <f t="shared" si="0"/>
        <v>0</v>
      </c>
    </row>
    <row r="15" spans="1:7" ht="20.100000000000001" customHeight="1">
      <c r="A15" s="814" t="s">
        <v>868</v>
      </c>
      <c r="B15" s="928">
        <v>0</v>
      </c>
      <c r="C15" s="928">
        <v>0</v>
      </c>
      <c r="D15" s="925">
        <f t="shared" si="0"/>
        <v>0</v>
      </c>
    </row>
    <row r="16" spans="1:7" ht="20.100000000000001" customHeight="1">
      <c r="A16" s="814" t="s">
        <v>869</v>
      </c>
      <c r="B16" s="928">
        <v>0</v>
      </c>
      <c r="C16" s="928">
        <v>0</v>
      </c>
      <c r="D16" s="925">
        <f t="shared" si="0"/>
        <v>0</v>
      </c>
    </row>
    <row r="17" spans="1:4" ht="25.5" customHeight="1">
      <c r="A17" s="814" t="s">
        <v>870</v>
      </c>
      <c r="B17" s="928">
        <v>0</v>
      </c>
      <c r="C17" s="928">
        <v>0</v>
      </c>
      <c r="D17" s="925">
        <f t="shared" si="0"/>
        <v>0</v>
      </c>
    </row>
    <row r="18" spans="1:4" ht="20.100000000000001" customHeight="1" thickBot="1">
      <c r="A18" s="228" t="s">
        <v>7</v>
      </c>
      <c r="B18" s="932"/>
      <c r="C18" s="932"/>
      <c r="D18" s="925"/>
    </row>
    <row r="19" spans="1:4" ht="20.100000000000001" customHeight="1" thickBot="1">
      <c r="A19" s="234" t="s">
        <v>812</v>
      </c>
      <c r="B19" s="997">
        <f>SUM(B10:B18)</f>
        <v>0</v>
      </c>
      <c r="C19" s="997">
        <f t="shared" ref="C19" si="1">SUM(C10:C18)</f>
        <v>0</v>
      </c>
      <c r="D19" s="997">
        <f t="shared" si="0"/>
        <v>0</v>
      </c>
    </row>
    <row r="20" spans="1:4">
      <c r="A20" s="167" t="s">
        <v>617</v>
      </c>
    </row>
    <row r="21" spans="1:4">
      <c r="A21" s="168" t="s">
        <v>934</v>
      </c>
    </row>
    <row r="22" spans="1:4">
      <c r="A22" s="168" t="s">
        <v>949</v>
      </c>
    </row>
    <row r="23" spans="1:4">
      <c r="A23" s="168" t="s">
        <v>950</v>
      </c>
    </row>
    <row r="24" spans="1:4">
      <c r="A24" s="259" t="s">
        <v>0</v>
      </c>
    </row>
    <row r="25" spans="1:4">
      <c r="A25" s="259" t="s">
        <v>0</v>
      </c>
    </row>
    <row r="26" spans="1:4">
      <c r="A26" s="259" t="s">
        <v>0</v>
      </c>
    </row>
  </sheetData>
  <mergeCells count="4">
    <mergeCell ref="A8:D8"/>
    <mergeCell ref="A7:D7"/>
    <mergeCell ref="C4:D4"/>
    <mergeCell ref="C5:D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Zeros="0" topLeftCell="A7" workbookViewId="0">
      <selection activeCell="D17" sqref="D17"/>
    </sheetView>
  </sheetViews>
  <sheetFormatPr baseColWidth="10" defaultRowHeight="12"/>
  <cols>
    <col min="1" max="1" width="49.42578125" style="10" customWidth="1"/>
    <col min="2" max="3" width="15.7109375" style="10" customWidth="1"/>
    <col min="4" max="4" width="12.42578125" style="10" bestFit="1" customWidth="1"/>
    <col min="5" max="16384" width="11.42578125" style="10"/>
  </cols>
  <sheetData>
    <row r="1" spans="1:7">
      <c r="A1" s="217"/>
    </row>
    <row r="2" spans="1:7">
      <c r="A2" s="174"/>
    </row>
    <row r="3" spans="1:7">
      <c r="A3" s="217" t="s">
        <v>7</v>
      </c>
    </row>
    <row r="5" spans="1:7" ht="15" customHeight="1">
      <c r="A5" s="4" t="str">
        <f>_soNom</f>
        <v>Cecotra</v>
      </c>
      <c r="C5" s="1640" t="str">
        <f>_ExerClos</f>
        <v>Exercice clos le 31/12/2025</v>
      </c>
      <c r="D5" s="1640"/>
    </row>
    <row r="6" spans="1:7" ht="15" customHeight="1">
      <c r="A6" s="6" t="str">
        <f>_soId</f>
        <v> 3201810353457</v>
      </c>
      <c r="C6" s="1640" t="str">
        <f>_Duree</f>
        <v>Durée (en mois) 12</v>
      </c>
      <c r="D6" s="1640"/>
    </row>
    <row r="7" spans="1:7">
      <c r="A7" s="174"/>
    </row>
    <row r="8" spans="1:7" ht="15">
      <c r="A8" s="1610" t="s">
        <v>953</v>
      </c>
      <c r="B8" s="1610"/>
      <c r="C8" s="1610"/>
      <c r="D8" s="1610"/>
      <c r="E8" s="308"/>
      <c r="F8" s="308"/>
      <c r="G8" s="308"/>
    </row>
    <row r="9" spans="1:7" ht="15.75" thickBot="1">
      <c r="A9" s="1461" t="s">
        <v>954</v>
      </c>
      <c r="B9" s="1461"/>
      <c r="C9" s="1461"/>
      <c r="D9" s="1461"/>
      <c r="E9" s="194"/>
      <c r="F9" s="194"/>
      <c r="G9" s="194"/>
    </row>
    <row r="10" spans="1:7" ht="22.5" customHeight="1" thickBot="1">
      <c r="A10" s="191" t="s">
        <v>416</v>
      </c>
      <c r="B10" s="192" t="str">
        <f>_ExerFin</f>
        <v xml:space="preserve"> 31/12/2025</v>
      </c>
      <c r="C10" s="192" t="str">
        <f>_ExerFin1</f>
        <v xml:space="preserve"> 31/12/2024</v>
      </c>
      <c r="D10" s="193" t="s">
        <v>417</v>
      </c>
    </row>
    <row r="11" spans="1:7" ht="20.100000000000001" customHeight="1">
      <c r="A11" s="238" t="s">
        <v>871</v>
      </c>
      <c r="B11" s="924">
        <v>3120000</v>
      </c>
      <c r="C11" s="924">
        <v>0</v>
      </c>
      <c r="D11" s="1012">
        <f>IF(C11=0,0,(B11-C11)/C11)*100</f>
        <v>0</v>
      </c>
    </row>
    <row r="12" spans="1:7" ht="20.100000000000001" customHeight="1">
      <c r="A12" s="224" t="s">
        <v>872</v>
      </c>
      <c r="B12" s="928">
        <v>0</v>
      </c>
      <c r="C12" s="928">
        <v>0</v>
      </c>
      <c r="D12" s="1012">
        <f t="shared" ref="D12:D18" si="0">IF(C12=0,0,(B12-C12)/C12)*100</f>
        <v>0</v>
      </c>
    </row>
    <row r="13" spans="1:7" ht="20.100000000000001" customHeight="1">
      <c r="A13" s="224" t="s">
        <v>873</v>
      </c>
      <c r="B13" s="928">
        <v>592800</v>
      </c>
      <c r="C13" s="928">
        <v>0</v>
      </c>
      <c r="D13" s="1012">
        <f t="shared" si="0"/>
        <v>0</v>
      </c>
    </row>
    <row r="14" spans="1:7" ht="20.100000000000001" customHeight="1">
      <c r="A14" s="224" t="s">
        <v>874</v>
      </c>
      <c r="B14" s="928">
        <v>0</v>
      </c>
      <c r="C14" s="928">
        <v>0</v>
      </c>
      <c r="D14" s="1012">
        <f t="shared" si="0"/>
        <v>0</v>
      </c>
    </row>
    <row r="15" spans="1:7" ht="20.100000000000001" customHeight="1">
      <c r="A15" s="224" t="s">
        <v>875</v>
      </c>
      <c r="B15" s="928">
        <v>0</v>
      </c>
      <c r="C15" s="928">
        <v>0</v>
      </c>
      <c r="D15" s="1012">
        <f t="shared" si="0"/>
        <v>0</v>
      </c>
    </row>
    <row r="16" spans="1:7" ht="20.100000000000001" customHeight="1">
      <c r="A16" s="224" t="s">
        <v>876</v>
      </c>
      <c r="B16" s="928">
        <v>0</v>
      </c>
      <c r="C16" s="928">
        <v>0</v>
      </c>
      <c r="D16" s="1012">
        <f t="shared" si="0"/>
        <v>0</v>
      </c>
    </row>
    <row r="17" spans="1:4" ht="20.100000000000001" customHeight="1" thickBot="1">
      <c r="A17" s="228" t="s">
        <v>7</v>
      </c>
      <c r="B17" s="932"/>
      <c r="C17" s="932"/>
      <c r="D17" s="1012"/>
    </row>
    <row r="18" spans="1:4" ht="20.100000000000001" customHeight="1" thickBot="1">
      <c r="A18" s="234" t="s">
        <v>812</v>
      </c>
      <c r="B18" s="997">
        <f>SUM(B11:B17)</f>
        <v>3712800</v>
      </c>
      <c r="C18" s="997">
        <f t="shared" ref="C18" si="1">SUM(C11:C17)</f>
        <v>0</v>
      </c>
      <c r="D18" s="997">
        <f t="shared" si="0"/>
        <v>0</v>
      </c>
    </row>
    <row r="19" spans="1:4">
      <c r="A19" s="167" t="s">
        <v>617</v>
      </c>
    </row>
    <row r="20" spans="1:4">
      <c r="A20" s="168" t="s">
        <v>935</v>
      </c>
    </row>
    <row r="21" spans="1:4">
      <c r="A21" s="168" t="s">
        <v>952</v>
      </c>
    </row>
    <row r="22" spans="1:4">
      <c r="A22" s="217" t="s">
        <v>0</v>
      </c>
    </row>
  </sheetData>
  <mergeCells count="4">
    <mergeCell ref="A9:D9"/>
    <mergeCell ref="A8:D8"/>
    <mergeCell ref="C5:D5"/>
    <mergeCell ref="C6:D6"/>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37"/>
  <sheetViews>
    <sheetView showZeros="0" topLeftCell="A3" workbookViewId="0">
      <selection activeCell="C12" sqref="C12:P32"/>
    </sheetView>
  </sheetViews>
  <sheetFormatPr baseColWidth="10" defaultRowHeight="15"/>
  <cols>
    <col min="1" max="1" width="4.28515625" customWidth="1"/>
    <col min="2" max="2" width="22.28515625" customWidth="1"/>
    <col min="3" max="3" width="8.42578125" customWidth="1"/>
    <col min="6" max="6" width="10.140625" customWidth="1"/>
    <col min="7" max="7" width="11.42578125" customWidth="1"/>
    <col min="10" max="11" width="12.5703125" bestFit="1" customWidth="1"/>
    <col min="13" max="13" width="13.42578125" bestFit="1" customWidth="1"/>
  </cols>
  <sheetData>
    <row r="3" spans="1:16" s="10" customFormat="1" ht="14.25">
      <c r="A3" s="1338" t="str">
        <f>_soNom</f>
        <v>Cecotra</v>
      </c>
      <c r="B3" s="1338"/>
      <c r="C3" s="1338"/>
      <c r="L3" s="1342" t="str">
        <f>_ExerClos</f>
        <v>Exercice clos le 31/12/2025</v>
      </c>
      <c r="M3" s="1342"/>
      <c r="N3" s="1342"/>
    </row>
    <row r="4" spans="1:16" s="10" customFormat="1" ht="15" customHeight="1">
      <c r="A4" s="1340" t="str">
        <f>_soId</f>
        <v> 3201810353457</v>
      </c>
      <c r="B4" s="1340"/>
      <c r="L4" s="1341" t="str">
        <f>_Duree</f>
        <v>Durée (en mois) 12</v>
      </c>
      <c r="M4" s="1341"/>
      <c r="N4" s="1341"/>
    </row>
    <row r="5" spans="1:16">
      <c r="A5" s="1654" t="s">
        <v>1093</v>
      </c>
      <c r="B5" s="1654"/>
      <c r="C5" s="1654"/>
      <c r="D5" s="1654"/>
      <c r="E5" s="1654"/>
      <c r="F5" s="1654"/>
      <c r="G5" s="1654"/>
      <c r="H5" s="1654"/>
      <c r="I5" s="1654"/>
      <c r="J5" s="1654"/>
      <c r="K5" s="1654"/>
      <c r="L5" s="1654"/>
      <c r="M5" s="1654"/>
      <c r="N5" s="1654"/>
      <c r="O5" s="1654"/>
      <c r="P5" s="1654"/>
    </row>
    <row r="6" spans="1:16" ht="16.5" thickBot="1">
      <c r="A6" s="1653" t="s">
        <v>1094</v>
      </c>
      <c r="B6" s="1653"/>
      <c r="C6" s="1653"/>
      <c r="D6" s="1653"/>
      <c r="E6" s="1653"/>
      <c r="F6" s="1653"/>
      <c r="G6" s="1653"/>
      <c r="H6" s="1653"/>
      <c r="I6" s="1653"/>
      <c r="J6" s="1653"/>
      <c r="K6" s="1653"/>
      <c r="L6" s="1653"/>
      <c r="M6" s="1653"/>
      <c r="N6" s="1653"/>
      <c r="O6" s="1653"/>
      <c r="P6" s="1653"/>
    </row>
    <row r="7" spans="1:16" ht="20.100000000000001" customHeight="1">
      <c r="A7" s="1656"/>
      <c r="B7" s="798" t="s">
        <v>1646</v>
      </c>
      <c r="C7" s="1657" t="s">
        <v>1096</v>
      </c>
      <c r="D7" s="1657"/>
      <c r="E7" s="1657"/>
      <c r="F7" s="1657"/>
      <c r="G7" s="1657"/>
      <c r="H7" s="1657"/>
      <c r="I7" s="1658"/>
      <c r="J7" s="1657" t="s">
        <v>1097</v>
      </c>
      <c r="K7" s="1657"/>
      <c r="L7" s="1657"/>
      <c r="M7" s="1657"/>
      <c r="N7" s="1657"/>
      <c r="O7" s="1657"/>
      <c r="P7" s="1660"/>
    </row>
    <row r="8" spans="1:16" ht="20.100000000000001" customHeight="1">
      <c r="A8" s="1656"/>
      <c r="B8" s="799" t="s">
        <v>1647</v>
      </c>
      <c r="C8" s="1655"/>
      <c r="D8" s="1655"/>
      <c r="E8" s="1655"/>
      <c r="F8" s="1655"/>
      <c r="G8" s="1655"/>
      <c r="H8" s="1655"/>
      <c r="I8" s="1659"/>
      <c r="J8" s="1655"/>
      <c r="K8" s="1655"/>
      <c r="L8" s="1655"/>
      <c r="M8" s="1655"/>
      <c r="N8" s="1655"/>
      <c r="O8" s="1655"/>
      <c r="P8" s="1661"/>
    </row>
    <row r="9" spans="1:16" ht="20.100000000000001" customHeight="1">
      <c r="A9" s="1656"/>
      <c r="B9" s="797"/>
      <c r="C9" s="1655"/>
      <c r="D9" s="1655"/>
      <c r="E9" s="1655"/>
      <c r="F9" s="1655"/>
      <c r="G9" s="1655"/>
      <c r="H9" s="1655"/>
      <c r="I9" s="1659"/>
      <c r="J9" s="1655"/>
      <c r="K9" s="1655"/>
      <c r="L9" s="1655"/>
      <c r="M9" s="1655"/>
      <c r="N9" s="1655"/>
      <c r="O9" s="1655"/>
      <c r="P9" s="1661"/>
    </row>
    <row r="10" spans="1:16" ht="20.100000000000001" customHeight="1">
      <c r="A10" s="381"/>
      <c r="B10" s="802"/>
      <c r="C10" s="1662" t="s">
        <v>1098</v>
      </c>
      <c r="D10" s="1655"/>
      <c r="E10" s="1655" t="s">
        <v>1099</v>
      </c>
      <c r="F10" s="1655"/>
      <c r="G10" s="1655" t="s">
        <v>1100</v>
      </c>
      <c r="H10" s="1655"/>
      <c r="I10" s="790" t="s">
        <v>720</v>
      </c>
      <c r="J10" s="1655" t="s">
        <v>1098</v>
      </c>
      <c r="K10" s="1655"/>
      <c r="L10" s="1655" t="s">
        <v>1099</v>
      </c>
      <c r="M10" s="1655"/>
      <c r="N10" s="1655" t="s">
        <v>1100</v>
      </c>
      <c r="O10" s="1655"/>
      <c r="P10" s="791" t="s">
        <v>720</v>
      </c>
    </row>
    <row r="11" spans="1:16" ht="20.100000000000001" customHeight="1" thickBot="1">
      <c r="A11" s="379"/>
      <c r="B11" s="801" t="s">
        <v>1095</v>
      </c>
      <c r="C11" s="800" t="s">
        <v>1101</v>
      </c>
      <c r="D11" s="790" t="s">
        <v>257</v>
      </c>
      <c r="E11" s="790" t="s">
        <v>1101</v>
      </c>
      <c r="F11" s="790" t="s">
        <v>257</v>
      </c>
      <c r="G11" s="790" t="s">
        <v>1101</v>
      </c>
      <c r="H11" s="790" t="s">
        <v>257</v>
      </c>
      <c r="I11" s="790"/>
      <c r="J11" s="790" t="s">
        <v>1101</v>
      </c>
      <c r="K11" s="790" t="s">
        <v>257</v>
      </c>
      <c r="L11" s="790" t="s">
        <v>1101</v>
      </c>
      <c r="M11" s="790" t="s">
        <v>257</v>
      </c>
      <c r="N11" s="790" t="s">
        <v>1101</v>
      </c>
      <c r="O11" s="790" t="s">
        <v>257</v>
      </c>
      <c r="P11" s="791"/>
    </row>
    <row r="12" spans="1:16" ht="20.100000000000001" customHeight="1" thickBot="1">
      <c r="A12" s="382" t="s">
        <v>1102</v>
      </c>
      <c r="B12" s="385" t="s">
        <v>1103</v>
      </c>
      <c r="C12" s="1068"/>
      <c r="D12" s="1068"/>
      <c r="E12" s="1068"/>
      <c r="F12" s="1068"/>
      <c r="G12" s="1068"/>
      <c r="H12" s="1068"/>
      <c r="I12" s="1068">
        <f>SUM(C12:H12)</f>
        <v>0</v>
      </c>
      <c r="J12" s="1069"/>
      <c r="K12" s="1069"/>
      <c r="L12" s="1069"/>
      <c r="M12" s="1069"/>
      <c r="N12" s="1069"/>
      <c r="O12" s="1069"/>
      <c r="P12" s="1070">
        <f>SUM(J12:O12)</f>
        <v>0</v>
      </c>
    </row>
    <row r="13" spans="1:16" ht="23.25" thickBot="1">
      <c r="A13" s="382" t="s">
        <v>1104</v>
      </c>
      <c r="B13" s="385" t="s">
        <v>1105</v>
      </c>
      <c r="C13" s="1068"/>
      <c r="D13" s="1068"/>
      <c r="E13" s="1068"/>
      <c r="F13" s="1068"/>
      <c r="G13" s="1068"/>
      <c r="H13" s="1068"/>
      <c r="I13" s="1068">
        <f t="shared" ref="I13:I15" si="0">SUM(C13:H13)</f>
        <v>0</v>
      </c>
      <c r="J13" s="1069"/>
      <c r="K13" s="1069"/>
      <c r="L13" s="1069"/>
      <c r="M13" s="1069"/>
      <c r="N13" s="1069"/>
      <c r="O13" s="1069"/>
      <c r="P13" s="1070">
        <f t="shared" ref="P13:P15" si="1">SUM(J13:O13)</f>
        <v>0</v>
      </c>
    </row>
    <row r="14" spans="1:16" ht="23.25" thickBot="1">
      <c r="A14" s="382" t="s">
        <v>1106</v>
      </c>
      <c r="B14" s="385" t="s">
        <v>1107</v>
      </c>
      <c r="C14" s="1068"/>
      <c r="D14" s="1068"/>
      <c r="E14" s="1068"/>
      <c r="F14" s="1068"/>
      <c r="G14" s="1068"/>
      <c r="H14" s="1068"/>
      <c r="I14" s="1068">
        <f t="shared" si="0"/>
        <v>0</v>
      </c>
      <c r="J14" s="1069"/>
      <c r="K14" s="1069"/>
      <c r="L14" s="1069"/>
      <c r="M14" s="1069"/>
      <c r="N14" s="1069"/>
      <c r="O14" s="1069"/>
      <c r="P14" s="1070">
        <f t="shared" si="1"/>
        <v>0</v>
      </c>
    </row>
    <row r="15" spans="1:16" ht="23.25" thickBot="1">
      <c r="A15" s="395" t="s">
        <v>1108</v>
      </c>
      <c r="B15" s="396" t="s">
        <v>1109</v>
      </c>
      <c r="C15" s="1071"/>
      <c r="D15" s="1071"/>
      <c r="E15" s="1071"/>
      <c r="F15" s="1071"/>
      <c r="G15" s="1071"/>
      <c r="H15" s="1071"/>
      <c r="I15" s="1068">
        <f t="shared" si="0"/>
        <v>0</v>
      </c>
      <c r="J15" s="1072"/>
      <c r="K15" s="1072"/>
      <c r="L15" s="1072"/>
      <c r="M15" s="1072"/>
      <c r="N15" s="1072"/>
      <c r="O15" s="1072"/>
      <c r="P15" s="1070">
        <f t="shared" si="1"/>
        <v>0</v>
      </c>
    </row>
    <row r="16" spans="1:16" ht="20.100000000000001" customHeight="1" thickBot="1">
      <c r="A16" s="398" t="s">
        <v>1110</v>
      </c>
      <c r="B16" s="399" t="s">
        <v>1111</v>
      </c>
      <c r="C16" s="1073">
        <f>SUM(C12:C15)</f>
        <v>0</v>
      </c>
      <c r="D16" s="1073">
        <f t="shared" ref="D16:I16" si="2">SUM(D12:D15)</f>
        <v>0</v>
      </c>
      <c r="E16" s="1073">
        <f t="shared" si="2"/>
        <v>0</v>
      </c>
      <c r="F16" s="1073">
        <f t="shared" si="2"/>
        <v>0</v>
      </c>
      <c r="G16" s="1073">
        <f t="shared" si="2"/>
        <v>0</v>
      </c>
      <c r="H16" s="1073">
        <f t="shared" si="2"/>
        <v>0</v>
      </c>
      <c r="I16" s="1073">
        <f t="shared" si="2"/>
        <v>0</v>
      </c>
      <c r="J16" s="1074">
        <f>SUM(J12:J15)</f>
        <v>0</v>
      </c>
      <c r="K16" s="1074">
        <f t="shared" ref="K16:P16" si="3">SUM(K12:K15)</f>
        <v>0</v>
      </c>
      <c r="L16" s="1074">
        <f t="shared" si="3"/>
        <v>0</v>
      </c>
      <c r="M16" s="1074">
        <f t="shared" si="3"/>
        <v>0</v>
      </c>
      <c r="N16" s="1074">
        <f t="shared" si="3"/>
        <v>0</v>
      </c>
      <c r="O16" s="1074">
        <f t="shared" si="3"/>
        <v>0</v>
      </c>
      <c r="P16" s="1074">
        <f t="shared" si="3"/>
        <v>0</v>
      </c>
    </row>
    <row r="17" spans="1:16" ht="20.100000000000001" customHeight="1" thickBot="1">
      <c r="A17" s="382"/>
      <c r="B17" s="397"/>
      <c r="C17" s="1075"/>
      <c r="D17" s="1075"/>
      <c r="E17" s="1075"/>
      <c r="F17" s="1075"/>
      <c r="G17" s="1075"/>
      <c r="H17" s="1075"/>
      <c r="I17" s="1075"/>
      <c r="J17" s="1076"/>
      <c r="K17" s="1076"/>
      <c r="L17" s="1076"/>
      <c r="M17" s="1076"/>
      <c r="N17" s="1076"/>
      <c r="O17" s="1076"/>
      <c r="P17" s="1077"/>
    </row>
    <row r="18" spans="1:16" ht="20.100000000000001" customHeight="1" thickBot="1">
      <c r="A18" s="382" t="s">
        <v>1112</v>
      </c>
      <c r="B18" s="385" t="s">
        <v>1113</v>
      </c>
      <c r="C18" s="1078">
        <f>C16</f>
        <v>0</v>
      </c>
      <c r="D18" s="1078">
        <f t="shared" ref="D18:I18" si="4">D16</f>
        <v>0</v>
      </c>
      <c r="E18" s="1078">
        <f t="shared" si="4"/>
        <v>0</v>
      </c>
      <c r="F18" s="1078">
        <f t="shared" si="4"/>
        <v>0</v>
      </c>
      <c r="G18" s="1078">
        <f t="shared" si="4"/>
        <v>0</v>
      </c>
      <c r="H18" s="1078">
        <f t="shared" si="4"/>
        <v>0</v>
      </c>
      <c r="I18" s="1078">
        <f t="shared" si="4"/>
        <v>0</v>
      </c>
      <c r="J18" s="1079">
        <f>J16</f>
        <v>0</v>
      </c>
      <c r="K18" s="1079">
        <f t="shared" ref="K18:P18" si="5">K16</f>
        <v>0</v>
      </c>
      <c r="L18" s="1079">
        <f t="shared" si="5"/>
        <v>0</v>
      </c>
      <c r="M18" s="1079">
        <f t="shared" si="5"/>
        <v>0</v>
      </c>
      <c r="N18" s="1079">
        <f t="shared" si="5"/>
        <v>0</v>
      </c>
      <c r="O18" s="1079">
        <f t="shared" si="5"/>
        <v>0</v>
      </c>
      <c r="P18" s="1079">
        <f t="shared" si="5"/>
        <v>0</v>
      </c>
    </row>
    <row r="19" spans="1:16" ht="20.100000000000001" customHeight="1" thickBot="1">
      <c r="A19" s="382" t="s">
        <v>1114</v>
      </c>
      <c r="B19" s="386" t="s">
        <v>1115</v>
      </c>
      <c r="C19" s="1080"/>
      <c r="D19" s="1080"/>
      <c r="E19" s="1080"/>
      <c r="F19" s="1080"/>
      <c r="G19" s="1080"/>
      <c r="H19" s="1080"/>
      <c r="I19" s="1080"/>
      <c r="J19" s="1081"/>
      <c r="K19" s="1081"/>
      <c r="L19" s="1081"/>
      <c r="M19" s="1081"/>
      <c r="N19" s="1081"/>
      <c r="O19" s="1081"/>
      <c r="P19" s="1082"/>
    </row>
    <row r="20" spans="1:16" ht="20.100000000000001" customHeight="1" thickBot="1">
      <c r="A20" s="378"/>
      <c r="B20" s="378"/>
      <c r="C20" s="1083"/>
      <c r="D20" s="1083"/>
      <c r="E20" s="1083"/>
      <c r="F20" s="1083"/>
      <c r="G20" s="1083"/>
      <c r="H20" s="1083"/>
      <c r="I20" s="1083"/>
      <c r="J20" s="1084"/>
      <c r="K20" s="1084"/>
      <c r="L20" s="1083"/>
      <c r="M20" s="1083"/>
      <c r="N20" s="1083"/>
      <c r="O20" s="1083"/>
      <c r="P20" s="1083"/>
    </row>
    <row r="21" spans="1:16" ht="20.100000000000001" customHeight="1">
      <c r="A21" s="378"/>
      <c r="B21" s="378"/>
      <c r="C21" s="1083"/>
      <c r="D21" s="1083"/>
      <c r="E21" s="1083"/>
      <c r="F21" s="1083"/>
      <c r="G21" s="1083"/>
      <c r="H21" s="1083"/>
      <c r="I21" s="1085"/>
      <c r="J21" s="1649" t="s">
        <v>1116</v>
      </c>
      <c r="K21" s="1650"/>
      <c r="L21" s="1083"/>
      <c r="M21" s="1083"/>
      <c r="N21" s="1083"/>
      <c r="O21" s="1083"/>
      <c r="P21" s="1083"/>
    </row>
    <row r="22" spans="1:16" ht="20.100000000000001" customHeight="1" thickBot="1">
      <c r="A22" s="381"/>
      <c r="B22" s="387" t="s">
        <v>1117</v>
      </c>
      <c r="C22" s="1086"/>
      <c r="D22" s="1086"/>
      <c r="E22" s="1086"/>
      <c r="F22" s="1086"/>
      <c r="G22" s="1086"/>
      <c r="H22" s="1086"/>
      <c r="I22" s="1085"/>
      <c r="J22" s="1651"/>
      <c r="K22" s="1652"/>
      <c r="L22" s="1083"/>
      <c r="M22" s="1087"/>
      <c r="N22" s="1083"/>
      <c r="O22" s="1083"/>
      <c r="P22" s="1083"/>
    </row>
    <row r="23" spans="1:16" ht="20.100000000000001" customHeight="1">
      <c r="A23" s="388" t="s">
        <v>1118</v>
      </c>
      <c r="B23" s="389" t="s">
        <v>1103</v>
      </c>
      <c r="C23" s="1088"/>
      <c r="D23" s="1088"/>
      <c r="E23" s="1088"/>
      <c r="F23" s="1088"/>
      <c r="G23" s="1088"/>
      <c r="H23" s="1088"/>
      <c r="I23" s="1088"/>
      <c r="J23" s="1089"/>
      <c r="K23" s="1090">
        <v>0</v>
      </c>
      <c r="L23" s="1083"/>
      <c r="M23" s="1083"/>
      <c r="N23" s="1083"/>
      <c r="O23" s="1083"/>
      <c r="P23" s="1083"/>
    </row>
    <row r="24" spans="1:16" ht="22.5">
      <c r="A24" s="390" t="s">
        <v>1119</v>
      </c>
      <c r="B24" s="383" t="s">
        <v>1105</v>
      </c>
      <c r="C24" s="1068"/>
      <c r="D24" s="1068"/>
      <c r="E24" s="1068"/>
      <c r="F24" s="1068"/>
      <c r="G24" s="1068"/>
      <c r="H24" s="1068"/>
      <c r="I24" s="1068"/>
      <c r="J24" s="1069"/>
      <c r="K24" s="1070">
        <v>0</v>
      </c>
      <c r="L24" s="1083"/>
      <c r="M24" s="1083"/>
      <c r="N24" s="1083"/>
      <c r="O24" s="1083"/>
      <c r="P24" s="1083"/>
    </row>
    <row r="25" spans="1:16" ht="22.5">
      <c r="A25" s="390" t="s">
        <v>1120</v>
      </c>
      <c r="B25" s="383" t="s">
        <v>1107</v>
      </c>
      <c r="C25" s="1068"/>
      <c r="D25" s="1068"/>
      <c r="E25" s="1068"/>
      <c r="F25" s="1068"/>
      <c r="G25" s="1068"/>
      <c r="H25" s="1068"/>
      <c r="I25" s="1068"/>
      <c r="J25" s="1069"/>
      <c r="K25" s="1070">
        <v>0</v>
      </c>
      <c r="L25" s="1083"/>
      <c r="M25" s="1083"/>
      <c r="N25" s="1083"/>
      <c r="O25" s="1083"/>
      <c r="P25" s="1083"/>
    </row>
    <row r="26" spans="1:16" ht="22.5">
      <c r="A26" s="390" t="s">
        <v>1121</v>
      </c>
      <c r="B26" s="383" t="s">
        <v>1109</v>
      </c>
      <c r="C26" s="1068"/>
      <c r="D26" s="1068"/>
      <c r="E26" s="1068"/>
      <c r="F26" s="1068"/>
      <c r="G26" s="1068"/>
      <c r="H26" s="1068"/>
      <c r="I26" s="1068"/>
      <c r="J26" s="1069"/>
      <c r="K26" s="1070"/>
      <c r="L26" s="1083"/>
      <c r="M26" s="1083"/>
      <c r="N26" s="1663" t="s">
        <v>1122</v>
      </c>
      <c r="O26" s="1663"/>
      <c r="P26" s="1663"/>
    </row>
    <row r="27" spans="1:16" ht="20.100000000000001" customHeight="1">
      <c r="A27" s="390" t="s">
        <v>1123</v>
      </c>
      <c r="B27" s="384" t="s">
        <v>1124</v>
      </c>
      <c r="C27" s="1078"/>
      <c r="D27" s="1078">
        <f t="shared" ref="D27:K27" si="6">SUM(D23:D26)</f>
        <v>0</v>
      </c>
      <c r="E27" s="1078">
        <f t="shared" si="6"/>
        <v>0</v>
      </c>
      <c r="F27" s="1078">
        <f t="shared" si="6"/>
        <v>0</v>
      </c>
      <c r="G27" s="1078">
        <f t="shared" si="6"/>
        <v>0</v>
      </c>
      <c r="H27" s="1078">
        <f t="shared" si="6"/>
        <v>0</v>
      </c>
      <c r="I27" s="1078">
        <f t="shared" si="6"/>
        <v>0</v>
      </c>
      <c r="J27" s="1079">
        <f t="shared" si="6"/>
        <v>0</v>
      </c>
      <c r="K27" s="1079">
        <f t="shared" si="6"/>
        <v>0</v>
      </c>
      <c r="L27" s="1083"/>
      <c r="M27" s="1083"/>
      <c r="N27" s="1083"/>
      <c r="O27" s="1083"/>
      <c r="P27" s="1083"/>
    </row>
    <row r="28" spans="1:16" ht="20.100000000000001" customHeight="1">
      <c r="A28" s="390"/>
      <c r="B28" s="383"/>
      <c r="C28" s="1068"/>
      <c r="D28" s="1068"/>
      <c r="E28" s="1068"/>
      <c r="F28" s="1068"/>
      <c r="G28" s="1068"/>
      <c r="H28" s="1068"/>
      <c r="I28" s="1068"/>
      <c r="J28" s="1069"/>
      <c r="K28" s="1070"/>
      <c r="L28" s="1083"/>
      <c r="M28" s="1083"/>
      <c r="N28" s="1083"/>
      <c r="O28" s="1083"/>
      <c r="P28" s="1083"/>
    </row>
    <row r="29" spans="1:16" ht="20.100000000000001" customHeight="1">
      <c r="A29" s="390" t="s">
        <v>1125</v>
      </c>
      <c r="B29" s="383" t="s">
        <v>1113</v>
      </c>
      <c r="C29" s="1068"/>
      <c r="D29" s="1068"/>
      <c r="E29" s="1068"/>
      <c r="F29" s="1068"/>
      <c r="G29" s="1068"/>
      <c r="H29" s="1068"/>
      <c r="I29" s="1068"/>
      <c r="J29" s="1069"/>
      <c r="K29" s="1070"/>
      <c r="L29" s="1664"/>
      <c r="M29" s="1663"/>
      <c r="N29" s="1663"/>
      <c r="O29" s="1663"/>
      <c r="P29" s="1663"/>
    </row>
    <row r="30" spans="1:16" ht="20.100000000000001" customHeight="1">
      <c r="A30" s="390" t="s">
        <v>1126</v>
      </c>
      <c r="B30" s="383" t="s">
        <v>1115</v>
      </c>
      <c r="C30" s="1068"/>
      <c r="D30" s="1068"/>
      <c r="E30" s="1068"/>
      <c r="F30" s="1068"/>
      <c r="G30" s="1068"/>
      <c r="H30" s="1068"/>
      <c r="I30" s="1068"/>
      <c r="J30" s="1069"/>
      <c r="K30" s="1070"/>
      <c r="L30" s="1664"/>
      <c r="M30" s="1663"/>
      <c r="N30" s="1663"/>
      <c r="O30" s="1663"/>
      <c r="P30" s="1663"/>
    </row>
    <row r="31" spans="1:16" ht="20.100000000000001" customHeight="1" thickBot="1">
      <c r="A31" s="391"/>
      <c r="B31" s="392"/>
      <c r="C31" s="1071"/>
      <c r="D31" s="1071"/>
      <c r="E31" s="1071"/>
      <c r="F31" s="1071"/>
      <c r="G31" s="1071"/>
      <c r="H31" s="1071"/>
      <c r="I31" s="1071"/>
      <c r="J31" s="1091"/>
      <c r="K31" s="1092"/>
      <c r="L31" s="1083"/>
      <c r="M31" s="1083"/>
      <c r="N31" s="1083"/>
      <c r="O31" s="1083"/>
      <c r="P31" s="1083"/>
    </row>
    <row r="32" spans="1:16" ht="20.100000000000001" customHeight="1" thickBot="1">
      <c r="A32" s="393" t="s">
        <v>1127</v>
      </c>
      <c r="B32" s="394" t="s">
        <v>1128</v>
      </c>
      <c r="C32" s="1073">
        <f>C16+C27</f>
        <v>0</v>
      </c>
      <c r="D32" s="1073">
        <f t="shared" ref="D32:I32" si="7">D16+D27</f>
        <v>0</v>
      </c>
      <c r="E32" s="1073">
        <f t="shared" si="7"/>
        <v>0</v>
      </c>
      <c r="F32" s="1073">
        <f t="shared" si="7"/>
        <v>0</v>
      </c>
      <c r="G32" s="1073">
        <f t="shared" si="7"/>
        <v>0</v>
      </c>
      <c r="H32" s="1073">
        <f t="shared" si="7"/>
        <v>0</v>
      </c>
      <c r="I32" s="1073">
        <f t="shared" si="7"/>
        <v>0</v>
      </c>
      <c r="J32" s="1093"/>
      <c r="K32" s="1094"/>
      <c r="L32" s="1083"/>
      <c r="M32" s="1083"/>
      <c r="N32" s="1083"/>
      <c r="O32" s="1083"/>
      <c r="P32" s="1083"/>
    </row>
    <row r="33" spans="1:1">
      <c r="A33" s="317"/>
    </row>
    <row r="34" spans="1:1">
      <c r="A34" s="318" t="s">
        <v>1129</v>
      </c>
    </row>
    <row r="35" spans="1:1">
      <c r="A35" s="380" t="s">
        <v>1130</v>
      </c>
    </row>
    <row r="37" spans="1:1">
      <c r="A37" s="316"/>
    </row>
  </sheetData>
  <mergeCells count="23">
    <mergeCell ref="G10:H10"/>
    <mergeCell ref="N26:P26"/>
    <mergeCell ref="L29:L30"/>
    <mergeCell ref="M29:M30"/>
    <mergeCell ref="N29:N30"/>
    <mergeCell ref="O29:O30"/>
    <mergeCell ref="P29:P30"/>
    <mergeCell ref="A4:B4"/>
    <mergeCell ref="A3:C3"/>
    <mergeCell ref="L3:N3"/>
    <mergeCell ref="L4:N4"/>
    <mergeCell ref="J21:K22"/>
    <mergeCell ref="A6:P6"/>
    <mergeCell ref="A5:P5"/>
    <mergeCell ref="J10:K10"/>
    <mergeCell ref="L10:M10"/>
    <mergeCell ref="N10:O10"/>
    <mergeCell ref="A7:A9"/>
    <mergeCell ref="C7:H9"/>
    <mergeCell ref="I7:I9"/>
    <mergeCell ref="J7:P9"/>
    <mergeCell ref="C10:D10"/>
    <mergeCell ref="E10:F10"/>
  </mergeCells>
  <pageMargins left="0.70866141732283472" right="0.70866141732283472" top="0.74803149606299213" bottom="0.74803149606299213" header="0.31496062992125984" footer="0.31496062992125984"/>
  <pageSetup paperSize="9" scale="70"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21" workbookViewId="0">
      <selection activeCell="B35" sqref="B35"/>
    </sheetView>
  </sheetViews>
  <sheetFormatPr baseColWidth="10" defaultRowHeight="12"/>
  <cols>
    <col min="1" max="1" width="60" style="87" customWidth="1"/>
    <col min="2" max="2" width="15.7109375" style="87" customWidth="1"/>
    <col min="3" max="8" width="13.28515625" style="87" customWidth="1"/>
    <col min="9" max="9" width="15.7109375" style="87" customWidth="1"/>
    <col min="10" max="16384" width="11.42578125" style="87"/>
  </cols>
  <sheetData>
    <row r="1" spans="1:9">
      <c r="A1" s="205"/>
    </row>
    <row r="2" spans="1:9">
      <c r="A2" s="400"/>
    </row>
    <row r="3" spans="1:9" ht="5.25" customHeight="1">
      <c r="A3" s="400"/>
    </row>
    <row r="4" spans="1:9" ht="14.25">
      <c r="A4" s="4" t="str">
        <f>_soNom</f>
        <v>Cecotra</v>
      </c>
      <c r="F4" s="1342" t="str">
        <f>_ExerClos</f>
        <v>Exercice clos le 31/12/2025</v>
      </c>
      <c r="G4" s="1342"/>
      <c r="H4" s="1342"/>
    </row>
    <row r="5" spans="1:9" ht="15" customHeight="1">
      <c r="A5" s="6" t="str">
        <f>_soId</f>
        <v> 3201810353457</v>
      </c>
      <c r="F5" s="1341" t="str">
        <f>_Duree</f>
        <v>Durée (en mois) 12</v>
      </c>
      <c r="G5" s="1341"/>
      <c r="H5" s="1341"/>
    </row>
    <row r="6" spans="1:9">
      <c r="A6" s="401"/>
    </row>
    <row r="7" spans="1:9" ht="14.25">
      <c r="A7" s="1595" t="s">
        <v>1131</v>
      </c>
      <c r="B7" s="1595"/>
      <c r="C7" s="1595"/>
      <c r="D7" s="1595"/>
      <c r="E7" s="1595"/>
      <c r="F7" s="1595"/>
      <c r="G7" s="1595"/>
      <c r="H7" s="1595"/>
      <c r="I7" s="1595"/>
    </row>
    <row r="8" spans="1:9" ht="15" thickBot="1">
      <c r="A8" s="1671" t="s">
        <v>1132</v>
      </c>
      <c r="B8" s="1671"/>
      <c r="C8" s="1671"/>
      <c r="D8" s="1671"/>
      <c r="E8" s="1671"/>
      <c r="F8" s="1671"/>
      <c r="G8" s="1671"/>
      <c r="H8" s="1671"/>
      <c r="I8" s="1671"/>
    </row>
    <row r="9" spans="1:9" ht="20.100000000000001" customHeight="1" thickBot="1">
      <c r="A9" s="1672" t="s">
        <v>1675</v>
      </c>
      <c r="B9" s="840" t="s">
        <v>220</v>
      </c>
      <c r="C9" s="1675" t="s">
        <v>230</v>
      </c>
      <c r="D9" s="1676"/>
      <c r="E9" s="1677"/>
      <c r="F9" s="1675" t="s">
        <v>239</v>
      </c>
      <c r="G9" s="1676"/>
      <c r="H9" s="1677"/>
      <c r="I9" s="840" t="s">
        <v>571</v>
      </c>
    </row>
    <row r="10" spans="1:9" ht="20.100000000000001" customHeight="1" thickBot="1">
      <c r="A10" s="1673"/>
      <c r="B10" s="1678" t="s">
        <v>1133</v>
      </c>
      <c r="C10" s="1680" t="s">
        <v>1134</v>
      </c>
      <c r="D10" s="1681"/>
      <c r="E10" s="1682"/>
      <c r="F10" s="1680" t="s">
        <v>1135</v>
      </c>
      <c r="G10" s="1681"/>
      <c r="H10" s="1682"/>
      <c r="I10" s="1678" t="s">
        <v>1136</v>
      </c>
    </row>
    <row r="11" spans="1:9" ht="39.75" customHeight="1" thickBot="1">
      <c r="A11" s="1674"/>
      <c r="B11" s="1679"/>
      <c r="C11" s="841" t="s">
        <v>1654</v>
      </c>
      <c r="D11" s="841" t="s">
        <v>1508</v>
      </c>
      <c r="E11" s="841" t="s">
        <v>1137</v>
      </c>
      <c r="F11" s="841" t="s">
        <v>1654</v>
      </c>
      <c r="G11" s="841" t="s">
        <v>1508</v>
      </c>
      <c r="H11" s="841" t="s">
        <v>1138</v>
      </c>
      <c r="I11" s="1679"/>
    </row>
    <row r="12" spans="1:9" ht="15" customHeight="1" thickBot="1">
      <c r="A12" s="404" t="s">
        <v>1139</v>
      </c>
      <c r="B12" s="1095">
        <v>0</v>
      </c>
      <c r="C12" s="1095">
        <v>0</v>
      </c>
      <c r="D12" s="1095">
        <v>0</v>
      </c>
      <c r="E12" s="1095">
        <v>0</v>
      </c>
      <c r="F12" s="1095">
        <v>0</v>
      </c>
      <c r="G12" s="1095">
        <v>0</v>
      </c>
      <c r="H12" s="1095">
        <v>0</v>
      </c>
      <c r="I12" s="984">
        <f>B12+C12+D12+E12-F12-G12-H12</f>
        <v>0</v>
      </c>
    </row>
    <row r="13" spans="1:9" ht="15" customHeight="1" thickBot="1">
      <c r="A13" s="820" t="s">
        <v>1140</v>
      </c>
      <c r="B13" s="984">
        <v>0</v>
      </c>
      <c r="C13" s="984">
        <v>0</v>
      </c>
      <c r="D13" s="984">
        <v>0</v>
      </c>
      <c r="E13" s="984">
        <v>0</v>
      </c>
      <c r="F13" s="984">
        <v>0</v>
      </c>
      <c r="G13" s="984">
        <v>0</v>
      </c>
      <c r="H13" s="984">
        <v>0</v>
      </c>
      <c r="I13" s="984">
        <f t="shared" ref="I13:I15" si="0">B13+C13+D13+E13-F13-G13-H13</f>
        <v>0</v>
      </c>
    </row>
    <row r="14" spans="1:9" ht="15" customHeight="1" thickBot="1">
      <c r="A14" s="820" t="s">
        <v>1141</v>
      </c>
      <c r="B14" s="984">
        <v>0</v>
      </c>
      <c r="C14" s="984">
        <v>0</v>
      </c>
      <c r="D14" s="984">
        <v>0</v>
      </c>
      <c r="E14" s="984">
        <v>0</v>
      </c>
      <c r="F14" s="984">
        <v>0</v>
      </c>
      <c r="G14" s="984">
        <v>0</v>
      </c>
      <c r="H14" s="984">
        <v>0</v>
      </c>
      <c r="I14" s="984">
        <f t="shared" si="0"/>
        <v>0</v>
      </c>
    </row>
    <row r="15" spans="1:9" ht="15" customHeight="1" thickBot="1">
      <c r="A15" s="402" t="s">
        <v>1142</v>
      </c>
      <c r="B15" s="1096">
        <f>SUM(B12:B14)</f>
        <v>0</v>
      </c>
      <c r="C15" s="1096">
        <f t="shared" ref="C15:E15" si="1">SUM(C12:C14)</f>
        <v>0</v>
      </c>
      <c r="D15" s="1096">
        <f t="shared" si="1"/>
        <v>0</v>
      </c>
      <c r="E15" s="1096">
        <f t="shared" si="1"/>
        <v>0</v>
      </c>
      <c r="F15" s="1096">
        <f t="shared" ref="F15" si="2">SUM(F12:F14)</f>
        <v>0</v>
      </c>
      <c r="G15" s="1096">
        <f t="shared" ref="G15" si="3">SUM(G12:G14)</f>
        <v>0</v>
      </c>
      <c r="H15" s="1096">
        <f t="shared" ref="H15" si="4">SUM(H12:H14)</f>
        <v>0</v>
      </c>
      <c r="I15" s="984">
        <f t="shared" si="0"/>
        <v>0</v>
      </c>
    </row>
    <row r="16" spans="1:9" ht="15" customHeight="1" thickBot="1">
      <c r="A16" s="820"/>
      <c r="B16" s="984"/>
      <c r="C16" s="1665"/>
      <c r="D16" s="1666"/>
      <c r="E16" s="1667"/>
      <c r="F16" s="1665"/>
      <c r="G16" s="1666"/>
      <c r="H16" s="1667"/>
      <c r="I16" s="984"/>
    </row>
    <row r="17" spans="1:9" ht="15" customHeight="1" thickBot="1">
      <c r="A17" s="820" t="s">
        <v>1143</v>
      </c>
      <c r="B17" s="984">
        <v>0</v>
      </c>
      <c r="C17" s="1097">
        <v>0</v>
      </c>
      <c r="D17" s="1097">
        <v>0</v>
      </c>
      <c r="E17" s="1097">
        <v>0</v>
      </c>
      <c r="F17" s="1097">
        <v>0</v>
      </c>
      <c r="G17" s="1097">
        <v>0</v>
      </c>
      <c r="H17" s="1097">
        <v>0</v>
      </c>
      <c r="I17" s="984">
        <f>B17+C17-F17</f>
        <v>0</v>
      </c>
    </row>
    <row r="18" spans="1:9" ht="15" customHeight="1" thickBot="1">
      <c r="A18" s="820" t="s">
        <v>1144</v>
      </c>
      <c r="B18" s="984">
        <v>0</v>
      </c>
      <c r="C18" s="1097">
        <v>0</v>
      </c>
      <c r="D18" s="1097">
        <v>0</v>
      </c>
      <c r="E18" s="1097">
        <v>0</v>
      </c>
      <c r="F18" s="1097">
        <v>0</v>
      </c>
      <c r="G18" s="1097">
        <v>0</v>
      </c>
      <c r="H18" s="1097">
        <v>0</v>
      </c>
      <c r="I18" s="984">
        <f t="shared" ref="I18:I21" si="5">B18+C18-F18</f>
        <v>0</v>
      </c>
    </row>
    <row r="19" spans="1:9" ht="15" customHeight="1" thickBot="1">
      <c r="A19" s="820" t="s">
        <v>1145</v>
      </c>
      <c r="B19" s="984">
        <v>0</v>
      </c>
      <c r="C19" s="1097">
        <v>0</v>
      </c>
      <c r="D19" s="1097">
        <v>0</v>
      </c>
      <c r="E19" s="1097">
        <v>0</v>
      </c>
      <c r="F19" s="1097">
        <v>0</v>
      </c>
      <c r="G19" s="1097">
        <v>0</v>
      </c>
      <c r="H19" s="1097">
        <v>0</v>
      </c>
      <c r="I19" s="984">
        <f t="shared" si="5"/>
        <v>0</v>
      </c>
    </row>
    <row r="20" spans="1:9" ht="15" customHeight="1" thickBot="1">
      <c r="A20" s="820" t="s">
        <v>1146</v>
      </c>
      <c r="B20" s="984">
        <v>0</v>
      </c>
      <c r="C20" s="1097">
        <v>0</v>
      </c>
      <c r="D20" s="1097">
        <v>0</v>
      </c>
      <c r="E20" s="1097">
        <v>0</v>
      </c>
      <c r="F20" s="1097">
        <v>0</v>
      </c>
      <c r="G20" s="1097">
        <v>0</v>
      </c>
      <c r="H20" s="1097">
        <v>0</v>
      </c>
      <c r="I20" s="984">
        <f t="shared" si="5"/>
        <v>0</v>
      </c>
    </row>
    <row r="21" spans="1:9" ht="15" customHeight="1" thickBot="1">
      <c r="A21" s="820" t="s">
        <v>1147</v>
      </c>
      <c r="B21" s="984">
        <v>0</v>
      </c>
      <c r="C21" s="1097">
        <v>0</v>
      </c>
      <c r="D21" s="1097">
        <v>0</v>
      </c>
      <c r="E21" s="1097">
        <v>0</v>
      </c>
      <c r="F21" s="1097">
        <v>0</v>
      </c>
      <c r="G21" s="1097">
        <v>0</v>
      </c>
      <c r="H21" s="1097">
        <v>0</v>
      </c>
      <c r="I21" s="984">
        <f t="shared" si="5"/>
        <v>0</v>
      </c>
    </row>
    <row r="22" spans="1:9" ht="15" customHeight="1" thickBot="1">
      <c r="A22" s="820" t="s">
        <v>1148</v>
      </c>
      <c r="B22" s="984">
        <v>0</v>
      </c>
      <c r="C22" s="1097">
        <v>0</v>
      </c>
      <c r="D22" s="1097">
        <v>0</v>
      </c>
      <c r="E22" s="1097">
        <v>0</v>
      </c>
      <c r="F22" s="1097">
        <v>0</v>
      </c>
      <c r="G22" s="1097">
        <v>0</v>
      </c>
      <c r="H22" s="1097">
        <v>0</v>
      </c>
      <c r="I22" s="1097">
        <f>B22+C22+D22+E22-F22-G22-H22</f>
        <v>0</v>
      </c>
    </row>
    <row r="23" spans="1:9" ht="15" customHeight="1" thickBot="1">
      <c r="A23" s="820" t="s">
        <v>1149</v>
      </c>
      <c r="B23" s="984">
        <v>0</v>
      </c>
      <c r="C23" s="1097">
        <v>0</v>
      </c>
      <c r="D23" s="1097">
        <v>0</v>
      </c>
      <c r="E23" s="1097">
        <v>0</v>
      </c>
      <c r="F23" s="1097">
        <v>0</v>
      </c>
      <c r="G23" s="1097">
        <v>0</v>
      </c>
      <c r="H23" s="1097">
        <v>0</v>
      </c>
      <c r="I23" s="1097"/>
    </row>
    <row r="24" spans="1:9" ht="15" customHeight="1" thickBot="1">
      <c r="A24" s="820" t="s">
        <v>1150</v>
      </c>
      <c r="B24" s="984">
        <v>0</v>
      </c>
      <c r="C24" s="1097">
        <v>0</v>
      </c>
      <c r="D24" s="1097">
        <v>0</v>
      </c>
      <c r="E24" s="1097">
        <v>0</v>
      </c>
      <c r="F24" s="1097">
        <v>0</v>
      </c>
      <c r="G24" s="1097">
        <v>0</v>
      </c>
      <c r="H24" s="1097">
        <v>0</v>
      </c>
      <c r="I24" s="1097"/>
    </row>
    <row r="25" spans="1:9" ht="15" customHeight="1" thickBot="1">
      <c r="A25" s="820" t="s">
        <v>1151</v>
      </c>
      <c r="B25" s="984">
        <v>0</v>
      </c>
      <c r="C25" s="1097">
        <v>0</v>
      </c>
      <c r="D25" s="1097">
        <v>0</v>
      </c>
      <c r="E25" s="1097">
        <v>0</v>
      </c>
      <c r="F25" s="1097">
        <v>0</v>
      </c>
      <c r="G25" s="1097">
        <v>0</v>
      </c>
      <c r="H25" s="1097">
        <v>0</v>
      </c>
      <c r="I25" s="1097"/>
    </row>
    <row r="26" spans="1:9" ht="15" customHeight="1" thickBot="1">
      <c r="A26" s="820" t="s">
        <v>1677</v>
      </c>
      <c r="B26" s="984">
        <v>0</v>
      </c>
      <c r="C26" s="1097">
        <v>0</v>
      </c>
      <c r="D26" s="1097">
        <v>0</v>
      </c>
      <c r="E26" s="1097">
        <v>0</v>
      </c>
      <c r="F26" s="1097">
        <v>0</v>
      </c>
      <c r="G26" s="1097">
        <v>0</v>
      </c>
      <c r="H26" s="1097">
        <v>0</v>
      </c>
      <c r="I26" s="1097"/>
    </row>
    <row r="27" spans="1:9" ht="15" customHeight="1" thickBot="1">
      <c r="A27" s="820" t="s">
        <v>1676</v>
      </c>
      <c r="B27" s="984"/>
      <c r="C27" s="1097"/>
      <c r="D27" s="1097"/>
      <c r="E27" s="1097"/>
      <c r="F27" s="1097"/>
      <c r="G27" s="1097"/>
      <c r="H27" s="1097"/>
      <c r="I27" s="1097"/>
    </row>
    <row r="28" spans="1:9" ht="15" customHeight="1" thickBot="1">
      <c r="A28" s="402" t="s">
        <v>1678</v>
      </c>
      <c r="B28" s="1096">
        <f>SUM(B17:B27)</f>
        <v>0</v>
      </c>
      <c r="C28" s="1096">
        <f t="shared" ref="C28:I28" si="6">SUM(C17:C27)</f>
        <v>0</v>
      </c>
      <c r="D28" s="1096">
        <f t="shared" si="6"/>
        <v>0</v>
      </c>
      <c r="E28" s="1096">
        <f t="shared" si="6"/>
        <v>0</v>
      </c>
      <c r="F28" s="1096">
        <f t="shared" si="6"/>
        <v>0</v>
      </c>
      <c r="G28" s="1096">
        <f t="shared" si="6"/>
        <v>0</v>
      </c>
      <c r="H28" s="1096">
        <f t="shared" si="6"/>
        <v>0</v>
      </c>
      <c r="I28" s="1096">
        <f t="shared" si="6"/>
        <v>0</v>
      </c>
    </row>
    <row r="29" spans="1:9" ht="15" customHeight="1" thickBot="1">
      <c r="A29" s="820"/>
      <c r="B29" s="986"/>
      <c r="C29" s="1668"/>
      <c r="D29" s="1669"/>
      <c r="E29" s="1670"/>
      <c r="F29" s="1668"/>
      <c r="G29" s="1669"/>
      <c r="H29" s="1670"/>
      <c r="I29" s="986"/>
    </row>
    <row r="30" spans="1:9" ht="15" customHeight="1" thickBot="1">
      <c r="A30" s="403" t="s">
        <v>1152</v>
      </c>
      <c r="B30" s="1098">
        <f>B15+B28</f>
        <v>0</v>
      </c>
      <c r="C30" s="1098">
        <f t="shared" ref="C30:I30" si="7">C15+C28</f>
        <v>0</v>
      </c>
      <c r="D30" s="1098">
        <f t="shared" si="7"/>
        <v>0</v>
      </c>
      <c r="E30" s="1098">
        <f t="shared" si="7"/>
        <v>0</v>
      </c>
      <c r="F30" s="1098">
        <f t="shared" si="7"/>
        <v>0</v>
      </c>
      <c r="G30" s="1098">
        <f t="shared" si="7"/>
        <v>0</v>
      </c>
      <c r="H30" s="1098">
        <f t="shared" si="7"/>
        <v>0</v>
      </c>
      <c r="I30" s="1098">
        <f t="shared" si="7"/>
        <v>0</v>
      </c>
    </row>
    <row r="31" spans="1:9">
      <c r="A31" s="205"/>
    </row>
    <row r="32" spans="1:9">
      <c r="A32" s="206" t="s">
        <v>1154</v>
      </c>
    </row>
    <row r="33" spans="1:1">
      <c r="A33" s="10" t="s">
        <v>1153</v>
      </c>
    </row>
  </sheetData>
  <mergeCells count="15">
    <mergeCell ref="C16:E16"/>
    <mergeCell ref="F16:H16"/>
    <mergeCell ref="F4:H4"/>
    <mergeCell ref="F5:H5"/>
    <mergeCell ref="C29:E29"/>
    <mergeCell ref="F29:H29"/>
    <mergeCell ref="A7:I7"/>
    <mergeCell ref="A8:I8"/>
    <mergeCell ref="A9:A11"/>
    <mergeCell ref="C9:E9"/>
    <mergeCell ref="F9:H9"/>
    <mergeCell ref="B10:B11"/>
    <mergeCell ref="C10:E10"/>
    <mergeCell ref="F10:H10"/>
    <mergeCell ref="I10:I11"/>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36"/>
  <sheetViews>
    <sheetView showZeros="0" topLeftCell="A16" workbookViewId="0">
      <selection activeCell="D26" sqref="D26"/>
    </sheetView>
  </sheetViews>
  <sheetFormatPr baseColWidth="10" defaultRowHeight="15"/>
  <cols>
    <col min="1" max="1" width="51.28515625" customWidth="1"/>
    <col min="2" max="3" width="15.7109375" customWidth="1"/>
    <col min="4" max="4" width="13.5703125" customWidth="1"/>
  </cols>
  <sheetData>
    <row r="4" spans="1:6">
      <c r="A4" s="4" t="str">
        <f>_soNom</f>
        <v>Cecotra</v>
      </c>
      <c r="C4" s="1640" t="str">
        <f>_ExerClos</f>
        <v>Exercice clos le 31/12/2025</v>
      </c>
      <c r="D4" s="1640"/>
    </row>
    <row r="5" spans="1:6">
      <c r="A5" s="6" t="str">
        <f>_soId</f>
        <v> 3201810353457</v>
      </c>
      <c r="C5" s="1640" t="str">
        <f>_Duree</f>
        <v>Durée (en mois) 12</v>
      </c>
      <c r="D5" s="1640"/>
    </row>
    <row r="6" spans="1:6">
      <c r="A6" s="356" t="s">
        <v>0</v>
      </c>
    </row>
    <row r="7" spans="1:6">
      <c r="A7" s="1559" t="s">
        <v>1155</v>
      </c>
      <c r="B7" s="1559"/>
      <c r="C7" s="1559"/>
      <c r="D7" s="1559"/>
      <c r="E7" s="549"/>
      <c r="F7" s="549"/>
    </row>
    <row r="8" spans="1:6">
      <c r="A8" s="1683" t="s">
        <v>955</v>
      </c>
      <c r="B8" s="1683"/>
      <c r="C8" s="1683"/>
      <c r="D8" s="1683"/>
      <c r="E8" s="546"/>
      <c r="F8" s="546"/>
    </row>
    <row r="9" spans="1:6" ht="20.100000000000001" customHeight="1">
      <c r="A9" s="245" t="s">
        <v>416</v>
      </c>
      <c r="B9" s="245" t="str">
        <f>_ExerFin</f>
        <v xml:space="preserve"> 31/12/2025</v>
      </c>
      <c r="C9" s="245" t="str">
        <f>_ExerFin1</f>
        <v xml:space="preserve"> 31/12/2024</v>
      </c>
      <c r="D9" s="245" t="s">
        <v>417</v>
      </c>
    </row>
    <row r="10" spans="1:6" ht="20.100000000000001" customHeight="1">
      <c r="A10" s="222" t="s">
        <v>956</v>
      </c>
      <c r="B10" s="928">
        <v>0</v>
      </c>
      <c r="C10" s="928">
        <v>0</v>
      </c>
      <c r="D10" s="1099">
        <f>IF(C10=0,0,(B10-C10)/C10)*100</f>
        <v>0</v>
      </c>
    </row>
    <row r="11" spans="1:6" ht="20.100000000000001" customHeight="1">
      <c r="A11" s="1161" t="s">
        <v>957</v>
      </c>
      <c r="B11" s="928">
        <v>0</v>
      </c>
      <c r="C11" s="928">
        <v>0</v>
      </c>
      <c r="D11" s="1099">
        <f t="shared" ref="D11:D20" si="0">IF(C11=0,0,(B11-C11)/C11)*100</f>
        <v>0</v>
      </c>
    </row>
    <row r="12" spans="1:6" ht="20.100000000000001" customHeight="1">
      <c r="A12" s="222" t="s">
        <v>958</v>
      </c>
      <c r="B12" s="928">
        <v>0</v>
      </c>
      <c r="C12" s="928">
        <v>0</v>
      </c>
      <c r="D12" s="1099">
        <f t="shared" si="0"/>
        <v>0</v>
      </c>
    </row>
    <row r="13" spans="1:6" ht="20.100000000000001" customHeight="1">
      <c r="A13" s="222" t="s">
        <v>959</v>
      </c>
      <c r="B13" s="928">
        <v>0</v>
      </c>
      <c r="C13" s="928">
        <v>0</v>
      </c>
      <c r="D13" s="1099">
        <f t="shared" si="0"/>
        <v>0</v>
      </c>
    </row>
    <row r="14" spans="1:6" ht="20.100000000000001" customHeight="1">
      <c r="A14" s="222" t="s">
        <v>960</v>
      </c>
      <c r="B14" s="928">
        <v>0</v>
      </c>
      <c r="C14" s="928">
        <v>0</v>
      </c>
      <c r="D14" s="1099">
        <f t="shared" si="0"/>
        <v>0</v>
      </c>
    </row>
    <row r="15" spans="1:6" ht="20.100000000000001" customHeight="1">
      <c r="A15" s="222" t="s">
        <v>961</v>
      </c>
      <c r="B15" s="928">
        <v>0</v>
      </c>
      <c r="C15" s="928">
        <v>0</v>
      </c>
      <c r="D15" s="1099">
        <f t="shared" si="0"/>
        <v>0</v>
      </c>
    </row>
    <row r="16" spans="1:6" ht="20.100000000000001" customHeight="1">
      <c r="A16" s="222" t="s">
        <v>962</v>
      </c>
      <c r="B16" s="928">
        <v>0</v>
      </c>
      <c r="C16" s="928">
        <v>0</v>
      </c>
      <c r="D16" s="1099">
        <f t="shared" si="0"/>
        <v>0</v>
      </c>
    </row>
    <row r="17" spans="1:5" ht="24">
      <c r="A17" s="222" t="s">
        <v>963</v>
      </c>
      <c r="B17" s="928">
        <v>0</v>
      </c>
      <c r="C17" s="928">
        <v>0</v>
      </c>
      <c r="D17" s="1099">
        <f t="shared" si="0"/>
        <v>0</v>
      </c>
    </row>
    <row r="18" spans="1:5" ht="20.100000000000001" customHeight="1">
      <c r="A18" s="222" t="s">
        <v>964</v>
      </c>
      <c r="B18" s="928">
        <v>0</v>
      </c>
      <c r="C18" s="928">
        <v>0</v>
      </c>
      <c r="D18" s="1099">
        <f t="shared" si="0"/>
        <v>0</v>
      </c>
    </row>
    <row r="19" spans="1:5" ht="24.75" thickBot="1">
      <c r="A19" s="229" t="s">
        <v>965</v>
      </c>
      <c r="B19" s="928">
        <v>0</v>
      </c>
      <c r="C19" s="932">
        <v>0</v>
      </c>
      <c r="D19" s="1099">
        <f t="shared" si="0"/>
        <v>0</v>
      </c>
    </row>
    <row r="20" spans="1:5" ht="20.100000000000001" customHeight="1" thickBot="1">
      <c r="A20" s="234" t="s">
        <v>966</v>
      </c>
      <c r="B20" s="997">
        <f>SUM(B10:B19)</f>
        <v>0</v>
      </c>
      <c r="C20" s="997">
        <f t="shared" ref="C20" si="1">SUM(C10:C19)</f>
        <v>0</v>
      </c>
      <c r="D20" s="997">
        <f t="shared" si="0"/>
        <v>0</v>
      </c>
      <c r="E20" s="875"/>
    </row>
    <row r="21" spans="1:5" ht="20.100000000000001" customHeight="1">
      <c r="A21" s="239" t="s">
        <v>7</v>
      </c>
      <c r="B21" s="924"/>
      <c r="C21" s="924"/>
      <c r="D21" s="924"/>
    </row>
    <row r="22" spans="1:5" ht="20.100000000000001" customHeight="1">
      <c r="A22" s="222" t="s">
        <v>967</v>
      </c>
      <c r="B22" s="928">
        <v>0</v>
      </c>
      <c r="C22" s="928">
        <v>0</v>
      </c>
      <c r="D22" s="928">
        <f>IF(C22=0,0,(B22-C22)/C22)*100</f>
        <v>0</v>
      </c>
    </row>
    <row r="23" spans="1:5" ht="20.100000000000001" customHeight="1">
      <c r="A23" s="222" t="s">
        <v>968</v>
      </c>
      <c r="B23" s="928">
        <v>0</v>
      </c>
      <c r="C23" s="928">
        <v>0</v>
      </c>
      <c r="D23" s="928">
        <f t="shared" ref="D23:D33" si="2">IF(C23=0,0,(B23-C23)/C23)*100</f>
        <v>0</v>
      </c>
    </row>
    <row r="24" spans="1:5" ht="20.100000000000001" customHeight="1">
      <c r="A24" s="222" t="s">
        <v>969</v>
      </c>
      <c r="B24" s="928">
        <v>0</v>
      </c>
      <c r="C24" s="928">
        <v>0</v>
      </c>
      <c r="D24" s="928">
        <f t="shared" si="2"/>
        <v>0</v>
      </c>
    </row>
    <row r="25" spans="1:5" ht="20.100000000000001" customHeight="1">
      <c r="A25" s="222" t="s">
        <v>970</v>
      </c>
      <c r="B25" s="928">
        <v>0</v>
      </c>
      <c r="C25" s="928">
        <v>0</v>
      </c>
      <c r="D25" s="928">
        <f t="shared" si="2"/>
        <v>0</v>
      </c>
    </row>
    <row r="26" spans="1:5" ht="20.100000000000001" customHeight="1">
      <c r="A26" s="1161" t="s">
        <v>1679</v>
      </c>
      <c r="B26" s="928">
        <v>0</v>
      </c>
      <c r="C26" s="928">
        <v>0</v>
      </c>
      <c r="D26" s="928">
        <f t="shared" si="2"/>
        <v>0</v>
      </c>
    </row>
    <row r="27" spans="1:5" ht="20.100000000000001" customHeight="1">
      <c r="A27" s="222" t="s">
        <v>971</v>
      </c>
      <c r="B27" s="928">
        <v>0</v>
      </c>
      <c r="C27" s="928">
        <v>0</v>
      </c>
      <c r="D27" s="928">
        <f t="shared" si="2"/>
        <v>0</v>
      </c>
    </row>
    <row r="28" spans="1:5" ht="20.100000000000001" customHeight="1">
      <c r="A28" s="222" t="s">
        <v>972</v>
      </c>
      <c r="B28" s="928">
        <v>0</v>
      </c>
      <c r="C28" s="928">
        <v>0</v>
      </c>
      <c r="D28" s="928">
        <f t="shared" si="2"/>
        <v>0</v>
      </c>
    </row>
    <row r="29" spans="1:5" ht="20.100000000000001" customHeight="1">
      <c r="A29" s="222" t="s">
        <v>973</v>
      </c>
      <c r="B29" s="928">
        <v>0</v>
      </c>
      <c r="C29" s="928">
        <v>0</v>
      </c>
      <c r="D29" s="928">
        <f t="shared" si="2"/>
        <v>0</v>
      </c>
    </row>
    <row r="30" spans="1:5" ht="24.75" thickBot="1">
      <c r="A30" s="229" t="s">
        <v>974</v>
      </c>
      <c r="B30" s="932">
        <v>0</v>
      </c>
      <c r="C30" s="932">
        <v>0</v>
      </c>
      <c r="D30" s="928">
        <f t="shared" si="2"/>
        <v>0</v>
      </c>
    </row>
    <row r="31" spans="1:5" ht="20.100000000000001" customHeight="1" thickBot="1">
      <c r="A31" s="234" t="s">
        <v>975</v>
      </c>
      <c r="B31" s="920">
        <f>SUM(B22:B30)</f>
        <v>0</v>
      </c>
      <c r="C31" s="920">
        <f>SUM(C22:C30)</f>
        <v>0</v>
      </c>
      <c r="D31" s="920">
        <f t="shared" si="2"/>
        <v>0</v>
      </c>
    </row>
    <row r="32" spans="1:5" ht="20.100000000000001" customHeight="1" thickBot="1">
      <c r="A32" s="355" t="s">
        <v>7</v>
      </c>
      <c r="B32" s="1066"/>
      <c r="C32" s="1066"/>
      <c r="D32" s="928"/>
    </row>
    <row r="33" spans="1:4" ht="20.100000000000001" customHeight="1" thickBot="1">
      <c r="A33" s="187" t="s">
        <v>812</v>
      </c>
      <c r="B33" s="1067">
        <f>B20+B31</f>
        <v>0</v>
      </c>
      <c r="C33" s="1067">
        <f>C20+C31</f>
        <v>0</v>
      </c>
      <c r="D33" s="1067">
        <f t="shared" si="2"/>
        <v>0</v>
      </c>
    </row>
    <row r="34" spans="1:4">
      <c r="A34" s="59" t="s">
        <v>1156</v>
      </c>
    </row>
    <row r="35" spans="1:4">
      <c r="A35" s="327" t="s">
        <v>1157</v>
      </c>
    </row>
    <row r="36" spans="1:4">
      <c r="A36" s="327" t="s">
        <v>1158</v>
      </c>
    </row>
  </sheetData>
  <mergeCells count="4">
    <mergeCell ref="A8:D8"/>
    <mergeCell ref="A7:D7"/>
    <mergeCell ref="C4:D4"/>
    <mergeCell ref="C5:D5"/>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showZeros="0" topLeftCell="A5" workbookViewId="0">
      <selection activeCell="C28" sqref="C28"/>
    </sheetView>
  </sheetViews>
  <sheetFormatPr baseColWidth="10" defaultRowHeight="12"/>
  <cols>
    <col min="1" max="1" width="51.7109375" style="87" customWidth="1"/>
    <col min="2" max="2" width="14.42578125" style="87" customWidth="1"/>
    <col min="3" max="3" width="14.28515625" style="87" customWidth="1"/>
    <col min="4" max="4" width="11.42578125" style="873"/>
    <col min="5" max="16384" width="11.42578125" style="87"/>
  </cols>
  <sheetData>
    <row r="1" spans="1:4" customFormat="1" ht="15">
      <c r="D1" s="872"/>
    </row>
    <row r="2" spans="1:4" customFormat="1" ht="15">
      <c r="D2" s="872"/>
    </row>
    <row r="3" spans="1:4" customFormat="1" ht="15">
      <c r="D3" s="872"/>
    </row>
    <row r="4" spans="1:4" customFormat="1" ht="15">
      <c r="A4" s="4" t="str">
        <f>_soNom</f>
        <v>Cecotra</v>
      </c>
      <c r="B4" s="87"/>
      <c r="C4" s="1640" t="str">
        <f>_ExerClos</f>
        <v>Exercice clos le 31/12/2025</v>
      </c>
      <c r="D4" s="1640"/>
    </row>
    <row r="5" spans="1:4" customFormat="1" ht="15">
      <c r="A5" s="6" t="str">
        <f>_soId</f>
        <v> 3201810353457</v>
      </c>
      <c r="B5" s="87"/>
      <c r="C5" s="1640" t="str">
        <f>_Duree</f>
        <v>Durée (en mois) 12</v>
      </c>
      <c r="D5" s="1640"/>
    </row>
    <row r="6" spans="1:4">
      <c r="A6" s="405" t="s">
        <v>0</v>
      </c>
    </row>
    <row r="7" spans="1:4">
      <c r="A7" s="1630" t="s">
        <v>1159</v>
      </c>
      <c r="B7" s="1630"/>
      <c r="C7" s="1630"/>
      <c r="D7" s="1630"/>
    </row>
    <row r="8" spans="1:4" ht="12.75" thickBot="1">
      <c r="A8" s="1645" t="s">
        <v>1160</v>
      </c>
      <c r="B8" s="1645"/>
      <c r="C8" s="1645"/>
      <c r="D8" s="1645"/>
    </row>
    <row r="9" spans="1:4" ht="24.75" thickBot="1">
      <c r="A9" s="191" t="s">
        <v>416</v>
      </c>
      <c r="B9" s="192" t="str">
        <f>_ExerFin</f>
        <v xml:space="preserve"> 31/12/2025</v>
      </c>
      <c r="C9" s="192" t="str">
        <f>_ExerFin1</f>
        <v xml:space="preserve"> 31/12/2024</v>
      </c>
      <c r="D9" s="874" t="s">
        <v>417</v>
      </c>
    </row>
    <row r="10" spans="1:4" ht="15" customHeight="1">
      <c r="A10" s="238" t="s">
        <v>1161</v>
      </c>
      <c r="B10" s="1053">
        <v>0</v>
      </c>
      <c r="C10" s="1053">
        <v>0</v>
      </c>
      <c r="D10" s="1059">
        <f>IF(C10=0,0,(B10-C10)/C10)*100</f>
        <v>0</v>
      </c>
    </row>
    <row r="11" spans="1:4" ht="15" customHeight="1">
      <c r="A11" s="224" t="s">
        <v>976</v>
      </c>
      <c r="B11" s="1054">
        <v>0</v>
      </c>
      <c r="C11" s="1054">
        <v>0</v>
      </c>
      <c r="D11" s="1059">
        <f t="shared" ref="D11:D28" si="0">IF(C11=0,0,(B11-C11)/C11)*100</f>
        <v>0</v>
      </c>
    </row>
    <row r="12" spans="1:4" ht="15" customHeight="1">
      <c r="A12" s="224" t="s">
        <v>977</v>
      </c>
      <c r="B12" s="1054">
        <v>0</v>
      </c>
      <c r="C12" s="1054">
        <v>0</v>
      </c>
      <c r="D12" s="1059">
        <f t="shared" si="0"/>
        <v>0</v>
      </c>
    </row>
    <row r="13" spans="1:4" ht="15" customHeight="1">
      <c r="A13" s="224" t="s">
        <v>978</v>
      </c>
      <c r="B13" s="1054">
        <v>0</v>
      </c>
      <c r="C13" s="1054">
        <v>0</v>
      </c>
      <c r="D13" s="1059">
        <f t="shared" si="0"/>
        <v>0</v>
      </c>
    </row>
    <row r="14" spans="1:4" ht="15" customHeight="1">
      <c r="A14" s="224" t="s">
        <v>979</v>
      </c>
      <c r="B14" s="1054">
        <v>0</v>
      </c>
      <c r="C14" s="1054">
        <v>0</v>
      </c>
      <c r="D14" s="1059">
        <f t="shared" si="0"/>
        <v>0</v>
      </c>
    </row>
    <row r="15" spans="1:4" ht="15" customHeight="1">
      <c r="A15" s="224" t="s">
        <v>980</v>
      </c>
      <c r="B15" s="1054">
        <v>0</v>
      </c>
      <c r="C15" s="1054">
        <v>0</v>
      </c>
      <c r="D15" s="1059">
        <f t="shared" si="0"/>
        <v>0</v>
      </c>
    </row>
    <row r="16" spans="1:4" ht="15" customHeight="1">
      <c r="A16" s="224" t="s">
        <v>981</v>
      </c>
      <c r="B16" s="1054">
        <v>0</v>
      </c>
      <c r="C16" s="1054">
        <v>0</v>
      </c>
      <c r="D16" s="1059">
        <f t="shared" si="0"/>
        <v>0</v>
      </c>
    </row>
    <row r="17" spans="1:4" ht="15" customHeight="1" thickBot="1">
      <c r="A17" s="228" t="s">
        <v>982</v>
      </c>
      <c r="B17" s="1055">
        <v>0</v>
      </c>
      <c r="C17" s="1055">
        <v>0</v>
      </c>
      <c r="D17" s="1059">
        <f t="shared" si="0"/>
        <v>0</v>
      </c>
    </row>
    <row r="18" spans="1:4" ht="15" customHeight="1" thickBot="1">
      <c r="A18" s="234" t="s">
        <v>983</v>
      </c>
      <c r="B18" s="1056">
        <f>RESULTAT!E46</f>
        <v>0</v>
      </c>
      <c r="C18" s="1056">
        <f>RESULTAT!F46</f>
        <v>0</v>
      </c>
      <c r="D18" s="1056">
        <f t="shared" si="0"/>
        <v>0</v>
      </c>
    </row>
    <row r="19" spans="1:4" ht="15" customHeight="1">
      <c r="A19" s="238" t="s">
        <v>7</v>
      </c>
      <c r="B19" s="1053"/>
      <c r="C19" s="1053"/>
      <c r="D19" s="1059"/>
    </row>
    <row r="20" spans="1:4" ht="15" customHeight="1">
      <c r="A20" s="224" t="s">
        <v>1162</v>
      </c>
      <c r="B20" s="1054">
        <v>0</v>
      </c>
      <c r="C20" s="1054">
        <v>0</v>
      </c>
      <c r="D20" s="1059">
        <f t="shared" si="0"/>
        <v>0</v>
      </c>
    </row>
    <row r="21" spans="1:4" s="1162" customFormat="1" ht="15" customHeight="1">
      <c r="A21" s="814" t="s">
        <v>984</v>
      </c>
      <c r="B21" s="1054">
        <v>0</v>
      </c>
      <c r="C21" s="1054">
        <v>0</v>
      </c>
      <c r="D21" s="1059">
        <f t="shared" si="0"/>
        <v>0</v>
      </c>
    </row>
    <row r="22" spans="1:4" ht="15" customHeight="1">
      <c r="A22" s="238" t="s">
        <v>985</v>
      </c>
      <c r="B22" s="1053">
        <v>0</v>
      </c>
      <c r="C22" s="1053">
        <v>0</v>
      </c>
      <c r="D22" s="1059">
        <f t="shared" si="0"/>
        <v>0</v>
      </c>
    </row>
    <row r="23" spans="1:4" ht="15" customHeight="1">
      <c r="A23" s="224" t="s">
        <v>986</v>
      </c>
      <c r="B23" s="1054">
        <v>0</v>
      </c>
      <c r="C23" s="1054">
        <v>0</v>
      </c>
      <c r="D23" s="1059">
        <f t="shared" si="0"/>
        <v>0</v>
      </c>
    </row>
    <row r="24" spans="1:4" ht="15" customHeight="1">
      <c r="A24" s="224" t="s">
        <v>987</v>
      </c>
      <c r="B24" s="1054">
        <v>0</v>
      </c>
      <c r="C24" s="1054">
        <v>0</v>
      </c>
      <c r="D24" s="1059">
        <f t="shared" si="0"/>
        <v>0</v>
      </c>
    </row>
    <row r="25" spans="1:4" ht="15" customHeight="1" thickBot="1">
      <c r="A25" s="228" t="s">
        <v>988</v>
      </c>
      <c r="B25" s="1055">
        <v>0</v>
      </c>
      <c r="C25" s="1055">
        <v>0</v>
      </c>
      <c r="D25" s="1059">
        <f t="shared" si="0"/>
        <v>0</v>
      </c>
    </row>
    <row r="26" spans="1:4" ht="15" customHeight="1" thickBot="1">
      <c r="A26" s="234" t="s">
        <v>989</v>
      </c>
      <c r="B26" s="1056">
        <f>RESULTAT!E44</f>
        <v>0</v>
      </c>
      <c r="C26" s="1056">
        <f>RESULTAT!F44</f>
        <v>0</v>
      </c>
      <c r="D26" s="1056">
        <f t="shared" si="0"/>
        <v>0</v>
      </c>
    </row>
    <row r="27" spans="1:4" ht="15" customHeight="1" thickBot="1">
      <c r="A27" s="354" t="s">
        <v>7</v>
      </c>
      <c r="B27" s="1100"/>
      <c r="C27" s="1100"/>
      <c r="D27" s="1059"/>
    </row>
    <row r="28" spans="1:4" ht="15" customHeight="1" thickBot="1">
      <c r="A28" s="187" t="s">
        <v>812</v>
      </c>
      <c r="B28" s="1058">
        <f>+B18+B26</f>
        <v>0</v>
      </c>
      <c r="C28" s="1058">
        <f>+C18+C26</f>
        <v>0</v>
      </c>
      <c r="D28" s="1058">
        <f t="shared" si="0"/>
        <v>0</v>
      </c>
    </row>
    <row r="29" spans="1:4">
      <c r="A29" s="59" t="s">
        <v>1163</v>
      </c>
    </row>
    <row r="30" spans="1:4">
      <c r="A30" s="168" t="s">
        <v>944</v>
      </c>
    </row>
    <row r="31" spans="1:4">
      <c r="A31" s="405" t="s">
        <v>0</v>
      </c>
    </row>
  </sheetData>
  <mergeCells count="4">
    <mergeCell ref="A7:D7"/>
    <mergeCell ref="A8:D8"/>
    <mergeCell ref="C4:D4"/>
    <mergeCell ref="C5:D5"/>
  </mergeCells>
  <pageMargins left="0.32" right="0.16"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40"/>
  <sheetViews>
    <sheetView showZeros="0" topLeftCell="A25" workbookViewId="0">
      <selection activeCell="B10" sqref="B10:F31"/>
    </sheetView>
  </sheetViews>
  <sheetFormatPr baseColWidth="10" defaultRowHeight="15"/>
  <cols>
    <col min="1" max="1" width="92" customWidth="1"/>
    <col min="2" max="2" width="19.42578125" customWidth="1"/>
    <col min="3" max="3" width="20.5703125" customWidth="1"/>
    <col min="4" max="4" width="17.85546875" customWidth="1"/>
    <col min="5" max="5" width="17.28515625" customWidth="1"/>
    <col min="6" max="6" width="17.42578125" customWidth="1"/>
  </cols>
  <sheetData>
    <row r="4" spans="1:9">
      <c r="A4" s="4" t="str">
        <f>_soNom</f>
        <v>Cecotra</v>
      </c>
      <c r="D4" s="1342" t="str">
        <f>_ExerClos</f>
        <v>Exercice clos le 31/12/2025</v>
      </c>
      <c r="E4" s="1342"/>
    </row>
    <row r="5" spans="1:9">
      <c r="A5" s="6" t="str">
        <f>_soId</f>
        <v> 3201810353457</v>
      </c>
      <c r="D5" s="1341" t="str">
        <f>_Duree</f>
        <v>Durée (en mois) 12</v>
      </c>
      <c r="E5" s="1341"/>
    </row>
    <row r="6" spans="1:9">
      <c r="A6" s="1595" t="s">
        <v>1164</v>
      </c>
      <c r="B6" s="1595"/>
      <c r="C6" s="1595"/>
      <c r="D6" s="1595"/>
      <c r="E6" s="1595"/>
      <c r="F6" s="1595"/>
      <c r="G6" s="195"/>
      <c r="H6" s="195"/>
      <c r="I6" s="195"/>
    </row>
    <row r="7" spans="1:9" ht="27" customHeight="1" thickBot="1">
      <c r="A7" s="1693" t="s">
        <v>1165</v>
      </c>
      <c r="B7" s="1693"/>
      <c r="C7" s="1693"/>
      <c r="D7" s="1693"/>
      <c r="E7" s="1693"/>
      <c r="F7" s="1693"/>
      <c r="G7" s="377"/>
      <c r="H7" s="377"/>
      <c r="I7" s="377"/>
    </row>
    <row r="8" spans="1:9" ht="33.75" customHeight="1">
      <c r="A8" s="1689" t="s">
        <v>1514</v>
      </c>
      <c r="B8" s="1694" t="s">
        <v>1662</v>
      </c>
      <c r="C8" s="1694" t="s">
        <v>515</v>
      </c>
      <c r="D8" s="1694" t="s">
        <v>1663</v>
      </c>
      <c r="E8" s="1694" t="s">
        <v>1664</v>
      </c>
      <c r="F8" s="1696" t="s">
        <v>1665</v>
      </c>
      <c r="H8" s="414"/>
    </row>
    <row r="9" spans="1:9" ht="20.100000000000001" customHeight="1" thickBot="1">
      <c r="A9" s="1690"/>
      <c r="B9" s="1695"/>
      <c r="C9" s="1695"/>
      <c r="D9" s="1695"/>
      <c r="E9" s="1695"/>
      <c r="F9" s="1697"/>
    </row>
    <row r="10" spans="1:9" ht="18" customHeight="1" thickBot="1">
      <c r="A10" s="411" t="s">
        <v>1166</v>
      </c>
      <c r="B10" s="1101">
        <f>B11</f>
        <v>0</v>
      </c>
      <c r="C10" s="1101">
        <f t="shared" ref="C10:F10" si="0">C11</f>
        <v>0</v>
      </c>
      <c r="D10" s="1101">
        <f t="shared" si="0"/>
        <v>0</v>
      </c>
      <c r="E10" s="1101">
        <f t="shared" si="0"/>
        <v>0</v>
      </c>
      <c r="F10" s="1102">
        <f t="shared" si="0"/>
        <v>0</v>
      </c>
    </row>
    <row r="11" spans="1:9" ht="18" customHeight="1">
      <c r="A11" s="410" t="s">
        <v>1167</v>
      </c>
      <c r="B11" s="1103"/>
      <c r="C11" s="1103"/>
      <c r="D11" s="1103"/>
      <c r="E11" s="1103"/>
      <c r="F11" s="1104"/>
    </row>
    <row r="12" spans="1:9" ht="18" customHeight="1">
      <c r="A12" s="406" t="s">
        <v>1168</v>
      </c>
      <c r="B12" s="1105"/>
      <c r="C12" s="1105"/>
      <c r="D12" s="1105"/>
      <c r="E12" s="1105"/>
      <c r="F12" s="1106"/>
    </row>
    <row r="13" spans="1:9" ht="18" customHeight="1">
      <c r="A13" s="406" t="s">
        <v>1169</v>
      </c>
      <c r="B13" s="1105"/>
      <c r="C13" s="1105"/>
      <c r="D13" s="1105"/>
      <c r="E13" s="1105"/>
      <c r="F13" s="1106"/>
    </row>
    <row r="14" spans="1:9" ht="18" customHeight="1">
      <c r="A14" s="406" t="s">
        <v>1170</v>
      </c>
      <c r="B14" s="1105"/>
      <c r="C14" s="1105"/>
      <c r="D14" s="1105"/>
      <c r="E14" s="1105"/>
      <c r="F14" s="1106"/>
    </row>
    <row r="15" spans="1:9" ht="18" customHeight="1">
      <c r="A15" s="407" t="s">
        <v>1171</v>
      </c>
      <c r="B15" s="1105"/>
      <c r="C15" s="1105"/>
      <c r="D15" s="1105"/>
      <c r="E15" s="1105"/>
      <c r="F15" s="1106"/>
    </row>
    <row r="16" spans="1:9" ht="18" customHeight="1" thickBot="1">
      <c r="A16" s="412" t="s">
        <v>1172</v>
      </c>
      <c r="B16" s="1107"/>
      <c r="C16" s="1107"/>
      <c r="D16" s="1107"/>
      <c r="E16" s="1107"/>
      <c r="F16" s="1108"/>
    </row>
    <row r="17" spans="1:6" ht="18" customHeight="1" thickBot="1">
      <c r="A17" s="411" t="s">
        <v>1173</v>
      </c>
      <c r="B17" s="1109"/>
      <c r="C17" s="1109"/>
      <c r="D17" s="1109"/>
      <c r="E17" s="1109"/>
      <c r="F17" s="1110"/>
    </row>
    <row r="18" spans="1:6" ht="18" customHeight="1">
      <c r="A18" s="410" t="s">
        <v>1174</v>
      </c>
      <c r="B18" s="1103">
        <v>983417641</v>
      </c>
      <c r="C18" s="1103">
        <f>RESULTAT!F16</f>
        <v>105559492</v>
      </c>
      <c r="D18" s="1103"/>
      <c r="E18" s="1103"/>
      <c r="F18" s="1104"/>
    </row>
    <row r="19" spans="1:6" ht="18" customHeight="1">
      <c r="A19" s="406" t="s">
        <v>1175</v>
      </c>
      <c r="B19" s="1105">
        <v>22872214</v>
      </c>
      <c r="C19" s="1105">
        <f>RESULTAT!F35+RESULTAT!F34</f>
        <v>2167142</v>
      </c>
      <c r="D19" s="1105"/>
      <c r="E19" s="1105"/>
      <c r="F19" s="1106"/>
    </row>
    <row r="20" spans="1:6" ht="18" customHeight="1">
      <c r="A20" s="406" t="s">
        <v>1176</v>
      </c>
      <c r="B20" s="1105">
        <v>0</v>
      </c>
      <c r="C20" s="1105"/>
      <c r="D20" s="1105"/>
      <c r="E20" s="1105"/>
      <c r="F20" s="1106"/>
    </row>
    <row r="21" spans="1:6" ht="18" customHeight="1">
      <c r="A21" s="406" t="s">
        <v>1177</v>
      </c>
      <c r="B21" s="1105">
        <v>6861600</v>
      </c>
      <c r="C21" s="1105">
        <f>RESULTAT!F49</f>
        <v>1055590</v>
      </c>
      <c r="D21" s="1105"/>
      <c r="E21" s="1105"/>
      <c r="F21" s="1106"/>
    </row>
    <row r="22" spans="1:6" ht="18" customHeight="1" thickBot="1">
      <c r="A22" s="413" t="s">
        <v>1178</v>
      </c>
      <c r="B22" s="1107">
        <v>16010614</v>
      </c>
      <c r="C22" s="1107">
        <f>RESULTAT!F50</f>
        <v>418023</v>
      </c>
      <c r="D22" s="1107"/>
      <c r="E22" s="1107"/>
      <c r="F22" s="1108"/>
    </row>
    <row r="23" spans="1:6" ht="18" customHeight="1" thickBot="1">
      <c r="A23" s="411" t="s">
        <v>1179</v>
      </c>
      <c r="B23" s="1111"/>
      <c r="C23" s="1111"/>
      <c r="D23" s="1111"/>
      <c r="E23" s="1111"/>
      <c r="F23" s="1112"/>
    </row>
    <row r="24" spans="1:6" ht="18" customHeight="1">
      <c r="A24" s="410" t="s">
        <v>1180</v>
      </c>
      <c r="B24" s="1103"/>
      <c r="C24" s="1103"/>
      <c r="D24" s="1103"/>
      <c r="E24" s="1103"/>
      <c r="F24" s="1104"/>
    </row>
    <row r="25" spans="1:6" ht="18" customHeight="1" thickBot="1">
      <c r="A25" s="413" t="s">
        <v>1181</v>
      </c>
      <c r="B25" s="1107"/>
      <c r="C25" s="1107"/>
      <c r="D25" s="1107"/>
      <c r="E25" s="1107"/>
      <c r="F25" s="1108"/>
    </row>
    <row r="26" spans="1:6" ht="18" customHeight="1" thickBot="1">
      <c r="A26" s="411" t="s">
        <v>1182</v>
      </c>
      <c r="B26" s="1109"/>
      <c r="C26" s="1109"/>
      <c r="D26" s="1109"/>
      <c r="E26" s="1109"/>
      <c r="F26" s="1110"/>
    </row>
    <row r="27" spans="1:6" ht="18" customHeight="1">
      <c r="A27" s="410" t="s">
        <v>1183</v>
      </c>
      <c r="B27" s="1103"/>
      <c r="C27" s="1103"/>
      <c r="D27" s="1103"/>
      <c r="E27" s="1103"/>
      <c r="F27" s="1104"/>
    </row>
    <row r="28" spans="1:6" ht="18" customHeight="1">
      <c r="A28" s="406" t="s">
        <v>1184</v>
      </c>
      <c r="B28" s="1105"/>
      <c r="C28" s="1105"/>
      <c r="D28" s="1105"/>
      <c r="E28" s="1105"/>
      <c r="F28" s="1106"/>
    </row>
    <row r="29" spans="1:6" ht="18" customHeight="1">
      <c r="A29" s="406" t="s">
        <v>1185</v>
      </c>
      <c r="B29" s="1105">
        <v>3120000</v>
      </c>
      <c r="C29" s="1105"/>
      <c r="D29" s="1105"/>
      <c r="E29" s="1105"/>
      <c r="F29" s="1106"/>
    </row>
    <row r="30" spans="1:6" ht="18" customHeight="1">
      <c r="A30" s="406" t="s">
        <v>1648</v>
      </c>
      <c r="B30" s="1105">
        <v>592800</v>
      </c>
      <c r="C30" s="1105"/>
      <c r="D30" s="1105"/>
      <c r="E30" s="1105"/>
      <c r="F30" s="1106"/>
    </row>
    <row r="31" spans="1:6" ht="18" customHeight="1" thickBot="1">
      <c r="A31" s="408" t="s">
        <v>1186</v>
      </c>
      <c r="B31" s="1113">
        <v>0</v>
      </c>
      <c r="C31" s="1113"/>
      <c r="D31" s="1113"/>
      <c r="E31" s="1113"/>
      <c r="F31" s="1114"/>
    </row>
    <row r="32" spans="1:6" ht="10.5" customHeight="1" thickBot="1">
      <c r="A32" s="1688"/>
      <c r="B32" s="1688"/>
      <c r="C32" s="1688"/>
      <c r="D32" s="1688"/>
      <c r="E32" s="1688"/>
      <c r="F32" s="1688"/>
    </row>
    <row r="33" spans="1:6">
      <c r="A33" s="550" t="s">
        <v>1509</v>
      </c>
      <c r="B33" s="1691" t="s">
        <v>1187</v>
      </c>
      <c r="C33" s="1691"/>
      <c r="D33" s="1691"/>
      <c r="E33" s="1691"/>
      <c r="F33" s="1692"/>
    </row>
    <row r="34" spans="1:6" ht="17.25" customHeight="1">
      <c r="A34" s="385" t="s">
        <v>1510</v>
      </c>
      <c r="B34" s="1684" t="s">
        <v>1188</v>
      </c>
      <c r="C34" s="1684"/>
      <c r="D34" s="1684"/>
      <c r="E34" s="1684"/>
      <c r="F34" s="1685"/>
    </row>
    <row r="35" spans="1:6" ht="16.5" customHeight="1">
      <c r="A35" s="385" t="s">
        <v>1511</v>
      </c>
      <c r="B35" s="1684" t="s">
        <v>1189</v>
      </c>
      <c r="C35" s="1684"/>
      <c r="D35" s="1684"/>
      <c r="E35" s="1684"/>
      <c r="F35" s="1685"/>
    </row>
    <row r="36" spans="1:6">
      <c r="A36" s="385" t="s">
        <v>1512</v>
      </c>
      <c r="B36" s="1684" t="s">
        <v>1190</v>
      </c>
      <c r="C36" s="1684"/>
      <c r="D36" s="1684"/>
      <c r="E36" s="1684"/>
      <c r="F36" s="1685"/>
    </row>
    <row r="37" spans="1:6" ht="15.75" thickBot="1">
      <c r="A37" s="386" t="s">
        <v>1513</v>
      </c>
      <c r="B37" s="1686"/>
      <c r="C37" s="1686"/>
      <c r="D37" s="1686"/>
      <c r="E37" s="1686"/>
      <c r="F37" s="1687"/>
    </row>
    <row r="38" spans="1:6">
      <c r="A38" s="316"/>
    </row>
    <row r="40" spans="1:6">
      <c r="A40" s="317"/>
    </row>
  </sheetData>
  <mergeCells count="16">
    <mergeCell ref="D4:E4"/>
    <mergeCell ref="D5:E5"/>
    <mergeCell ref="B35:F35"/>
    <mergeCell ref="B36:F36"/>
    <mergeCell ref="B37:F37"/>
    <mergeCell ref="A32:F32"/>
    <mergeCell ref="A8:A9"/>
    <mergeCell ref="B34:F34"/>
    <mergeCell ref="B33:F33"/>
    <mergeCell ref="A7:F7"/>
    <mergeCell ref="A6:F6"/>
    <mergeCell ref="B8:B9"/>
    <mergeCell ref="C8:C9"/>
    <mergeCell ref="D8:D9"/>
    <mergeCell ref="E8:E9"/>
    <mergeCell ref="F8:F9"/>
  </mergeCells>
  <pageMargins left="0.70866141732283472" right="0.70866141732283472" top="0.74803149606299213" bottom="0.74803149606299213" header="0.31496062992125984" footer="0.31496062992125984"/>
  <pageSetup paperSize="9" scale="70"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topLeftCell="A10" workbookViewId="0">
      <selection activeCell="A5" sqref="A5"/>
    </sheetView>
  </sheetViews>
  <sheetFormatPr baseColWidth="10" defaultRowHeight="12"/>
  <cols>
    <col min="1" max="1" width="25" style="87" customWidth="1"/>
    <col min="2" max="16384" width="11.42578125" style="87"/>
  </cols>
  <sheetData>
    <row r="1" spans="1:14">
      <c r="A1" s="205"/>
    </row>
    <row r="2" spans="1:14">
      <c r="A2" s="400"/>
    </row>
    <row r="3" spans="1:14">
      <c r="A3" s="198"/>
      <c r="D3" s="198"/>
    </row>
    <row r="4" spans="1:14" ht="15">
      <c r="A4" s="4" t="str">
        <f>_soNom</f>
        <v>Cecotra</v>
      </c>
      <c r="B4"/>
      <c r="C4"/>
      <c r="K4" s="1342" t="str">
        <f>_ExerClos</f>
        <v>Exercice clos le 31/12/2025</v>
      </c>
      <c r="L4" s="1342"/>
      <c r="M4" s="1342"/>
    </row>
    <row r="5" spans="1:14" ht="15">
      <c r="A5" s="6" t="str">
        <f>_soId</f>
        <v> 3201810353457</v>
      </c>
      <c r="B5"/>
      <c r="C5"/>
      <c r="K5" s="1341" t="str">
        <f>_Duree</f>
        <v>Durée (en mois) 12</v>
      </c>
      <c r="L5" s="1341"/>
      <c r="M5" s="1341"/>
    </row>
    <row r="6" spans="1:14" ht="14.25">
      <c r="A6" s="1595" t="s">
        <v>1191</v>
      </c>
      <c r="B6" s="1595"/>
      <c r="C6" s="1595"/>
      <c r="D6" s="1595"/>
      <c r="E6" s="1595"/>
      <c r="F6" s="1595"/>
      <c r="G6" s="1595"/>
      <c r="H6" s="1595"/>
      <c r="I6" s="1595"/>
      <c r="J6" s="1595"/>
      <c r="K6" s="1595"/>
      <c r="L6" s="1595"/>
      <c r="M6" s="1595"/>
      <c r="N6" s="1595"/>
    </row>
    <row r="7" spans="1:14" ht="15" customHeight="1">
      <c r="A7" s="1671" t="s">
        <v>1192</v>
      </c>
      <c r="B7" s="1671"/>
      <c r="C7" s="1671"/>
      <c r="D7" s="1671"/>
      <c r="E7" s="1671"/>
      <c r="F7" s="1671"/>
      <c r="G7" s="1671"/>
      <c r="H7" s="1671"/>
      <c r="I7" s="1671"/>
      <c r="J7" s="1671"/>
      <c r="K7" s="1671"/>
      <c r="L7" s="1671"/>
      <c r="M7" s="1671"/>
      <c r="N7" s="1671"/>
    </row>
    <row r="8" spans="1:14" ht="12.75" thickBot="1">
      <c r="A8" s="198"/>
      <c r="E8" s="443"/>
      <c r="F8" s="443"/>
    </row>
    <row r="9" spans="1:14" ht="24" customHeight="1">
      <c r="A9" s="1672" t="s">
        <v>1193</v>
      </c>
      <c r="B9" s="1672" t="s">
        <v>1194</v>
      </c>
      <c r="C9" s="1602" t="s">
        <v>1515</v>
      </c>
      <c r="D9" s="1702"/>
      <c r="E9" s="1602" t="s">
        <v>1516</v>
      </c>
      <c r="F9" s="1702"/>
      <c r="G9" s="1705" t="s">
        <v>1518</v>
      </c>
      <c r="H9" s="1706"/>
      <c r="I9" s="1705" t="s">
        <v>1195</v>
      </c>
      <c r="J9" s="1706"/>
      <c r="K9" s="1705" t="s">
        <v>1196</v>
      </c>
      <c r="L9" s="1706"/>
      <c r="M9" s="1709" t="s">
        <v>1517</v>
      </c>
      <c r="N9" s="1706"/>
    </row>
    <row r="10" spans="1:14" ht="15" customHeight="1">
      <c r="A10" s="1673"/>
      <c r="B10" s="1673"/>
      <c r="C10" s="1703"/>
      <c r="D10" s="1704"/>
      <c r="E10" s="1703"/>
      <c r="F10" s="1704"/>
      <c r="G10" s="1707"/>
      <c r="H10" s="1708"/>
      <c r="I10" s="1707"/>
      <c r="J10" s="1708"/>
      <c r="K10" s="1707"/>
      <c r="L10" s="1708"/>
      <c r="M10" s="1710"/>
      <c r="N10" s="1708"/>
    </row>
    <row r="11" spans="1:14" ht="15.75" customHeight="1" thickBot="1">
      <c r="A11" s="1674"/>
      <c r="B11" s="1674"/>
      <c r="C11" s="433" t="s">
        <v>1197</v>
      </c>
      <c r="D11" s="437" t="s">
        <v>1198</v>
      </c>
      <c r="E11" s="433" t="s">
        <v>1197</v>
      </c>
      <c r="F11" s="423" t="s">
        <v>1198</v>
      </c>
      <c r="G11" s="433" t="s">
        <v>1197</v>
      </c>
      <c r="H11" s="423" t="s">
        <v>1198</v>
      </c>
      <c r="I11" s="433" t="s">
        <v>1197</v>
      </c>
      <c r="J11" s="423" t="s">
        <v>1198</v>
      </c>
      <c r="K11" s="433" t="s">
        <v>1197</v>
      </c>
      <c r="L11" s="423" t="s">
        <v>1198</v>
      </c>
      <c r="M11" s="444" t="s">
        <v>1197</v>
      </c>
      <c r="N11" s="423" t="s">
        <v>1198</v>
      </c>
    </row>
    <row r="12" spans="1:14" ht="20.100000000000001" customHeight="1">
      <c r="A12" s="424"/>
      <c r="B12" s="431"/>
      <c r="C12" s="421"/>
      <c r="D12" s="438"/>
      <c r="E12" s="421"/>
      <c r="F12" s="422"/>
      <c r="G12" s="421"/>
      <c r="H12" s="422"/>
      <c r="I12" s="421"/>
      <c r="J12" s="422"/>
      <c r="K12" s="421"/>
      <c r="L12" s="422"/>
      <c r="M12" s="426"/>
      <c r="N12" s="422"/>
    </row>
    <row r="13" spans="1:14" ht="20.100000000000001" customHeight="1">
      <c r="A13" s="425"/>
      <c r="B13" s="432"/>
      <c r="C13" s="415"/>
      <c r="D13" s="439"/>
      <c r="E13" s="415"/>
      <c r="F13" s="416"/>
      <c r="G13" s="415"/>
      <c r="H13" s="416"/>
      <c r="I13" s="415"/>
      <c r="J13" s="416"/>
      <c r="K13" s="415"/>
      <c r="L13" s="416"/>
      <c r="M13" s="427"/>
      <c r="N13" s="416"/>
    </row>
    <row r="14" spans="1:14" ht="20.100000000000001" customHeight="1">
      <c r="A14" s="425"/>
      <c r="B14" s="432"/>
      <c r="C14" s="415"/>
      <c r="D14" s="439"/>
      <c r="E14" s="415"/>
      <c r="F14" s="416"/>
      <c r="G14" s="415"/>
      <c r="H14" s="416"/>
      <c r="I14" s="415"/>
      <c r="J14" s="416"/>
      <c r="K14" s="415"/>
      <c r="L14" s="416"/>
      <c r="M14" s="427"/>
      <c r="N14" s="416"/>
    </row>
    <row r="15" spans="1:14" ht="20.100000000000001" customHeight="1">
      <c r="A15" s="425"/>
      <c r="B15" s="432"/>
      <c r="C15" s="415"/>
      <c r="D15" s="439"/>
      <c r="E15" s="415"/>
      <c r="F15" s="416"/>
      <c r="G15" s="415"/>
      <c r="H15" s="416"/>
      <c r="I15" s="415"/>
      <c r="J15" s="416"/>
      <c r="K15" s="415"/>
      <c r="L15" s="416"/>
      <c r="M15" s="427"/>
      <c r="N15" s="416"/>
    </row>
    <row r="16" spans="1:14" ht="20.100000000000001" customHeight="1">
      <c r="A16" s="425"/>
      <c r="B16" s="432"/>
      <c r="C16" s="415"/>
      <c r="D16" s="439"/>
      <c r="E16" s="415"/>
      <c r="F16" s="416"/>
      <c r="G16" s="415"/>
      <c r="H16" s="416"/>
      <c r="I16" s="415"/>
      <c r="J16" s="416"/>
      <c r="K16" s="415"/>
      <c r="L16" s="416"/>
      <c r="M16" s="427"/>
      <c r="N16" s="416"/>
    </row>
    <row r="17" spans="1:14" ht="20.100000000000001" customHeight="1">
      <c r="A17" s="425"/>
      <c r="B17" s="432"/>
      <c r="C17" s="415"/>
      <c r="D17" s="439"/>
      <c r="E17" s="415"/>
      <c r="F17" s="416"/>
      <c r="G17" s="415"/>
      <c r="H17" s="416"/>
      <c r="I17" s="415"/>
      <c r="J17" s="416"/>
      <c r="K17" s="415"/>
      <c r="L17" s="416"/>
      <c r="M17" s="427"/>
      <c r="N17" s="416"/>
    </row>
    <row r="18" spans="1:14" ht="20.100000000000001" customHeight="1">
      <c r="A18" s="425"/>
      <c r="B18" s="432"/>
      <c r="C18" s="415"/>
      <c r="D18" s="439"/>
      <c r="E18" s="415"/>
      <c r="F18" s="416"/>
      <c r="G18" s="415"/>
      <c r="H18" s="416"/>
      <c r="I18" s="415"/>
      <c r="J18" s="416"/>
      <c r="K18" s="415"/>
      <c r="L18" s="416"/>
      <c r="M18" s="427"/>
      <c r="N18" s="416"/>
    </row>
    <row r="19" spans="1:14" ht="20.100000000000001" customHeight="1">
      <c r="A19" s="425"/>
      <c r="B19" s="432"/>
      <c r="C19" s="415"/>
      <c r="D19" s="439"/>
      <c r="E19" s="415"/>
      <c r="F19" s="416"/>
      <c r="G19" s="415"/>
      <c r="H19" s="416"/>
      <c r="I19" s="415"/>
      <c r="J19" s="416"/>
      <c r="K19" s="415"/>
      <c r="L19" s="416"/>
      <c r="M19" s="427"/>
      <c r="N19" s="416"/>
    </row>
    <row r="20" spans="1:14" ht="20.100000000000001" customHeight="1">
      <c r="A20" s="1711" t="s">
        <v>1199</v>
      </c>
      <c r="B20" s="1713"/>
      <c r="C20" s="415"/>
      <c r="D20" s="439"/>
      <c r="E20" s="415"/>
      <c r="F20" s="416"/>
      <c r="G20" s="415"/>
      <c r="H20" s="416"/>
      <c r="I20" s="415"/>
      <c r="J20" s="416"/>
      <c r="K20" s="415"/>
      <c r="L20" s="416"/>
      <c r="M20" s="427"/>
      <c r="N20" s="416"/>
    </row>
    <row r="21" spans="1:14" ht="20.100000000000001" customHeight="1" thickBot="1">
      <c r="A21" s="1712"/>
      <c r="B21" s="1714"/>
      <c r="C21" s="434"/>
      <c r="D21" s="440"/>
      <c r="E21" s="434"/>
      <c r="F21" s="419"/>
      <c r="G21" s="434"/>
      <c r="H21" s="419"/>
      <c r="I21" s="434"/>
      <c r="J21" s="419"/>
      <c r="K21" s="434"/>
      <c r="L21" s="419"/>
      <c r="M21" s="428"/>
      <c r="N21" s="419"/>
    </row>
    <row r="22" spans="1:14" ht="20.100000000000001" customHeight="1">
      <c r="A22" s="1698" t="s">
        <v>720</v>
      </c>
      <c r="B22" s="1700"/>
      <c r="C22" s="435"/>
      <c r="D22" s="441"/>
      <c r="E22" s="435"/>
      <c r="F22" s="420"/>
      <c r="G22" s="435"/>
      <c r="H22" s="420"/>
      <c r="I22" s="435"/>
      <c r="J22" s="420"/>
      <c r="K22" s="435"/>
      <c r="L22" s="420"/>
      <c r="M22" s="429"/>
      <c r="N22" s="420"/>
    </row>
    <row r="23" spans="1:14" ht="20.100000000000001" customHeight="1" thickBot="1">
      <c r="A23" s="1699"/>
      <c r="B23" s="1701"/>
      <c r="C23" s="436"/>
      <c r="D23" s="442"/>
      <c r="E23" s="436"/>
      <c r="F23" s="418"/>
      <c r="G23" s="436"/>
      <c r="H23" s="418"/>
      <c r="I23" s="436"/>
      <c r="J23" s="418"/>
      <c r="K23" s="436"/>
      <c r="L23" s="418"/>
      <c r="M23" s="430"/>
      <c r="N23" s="418"/>
    </row>
    <row r="24" spans="1:14">
      <c r="A24" s="205"/>
    </row>
    <row r="25" spans="1:14">
      <c r="A25" s="205"/>
    </row>
    <row r="26" spans="1:14">
      <c r="A26" s="205"/>
    </row>
  </sheetData>
  <mergeCells count="16">
    <mergeCell ref="K4:M4"/>
    <mergeCell ref="K5:M5"/>
    <mergeCell ref="A22:A23"/>
    <mergeCell ref="B22:B23"/>
    <mergeCell ref="A6:N6"/>
    <mergeCell ref="A7:N7"/>
    <mergeCell ref="A9:A11"/>
    <mergeCell ref="B9:B11"/>
    <mergeCell ref="C9:D10"/>
    <mergeCell ref="E9:F10"/>
    <mergeCell ref="K9:L10"/>
    <mergeCell ref="M9:N10"/>
    <mergeCell ref="A20:A21"/>
    <mergeCell ref="B20:B21"/>
    <mergeCell ref="G9:H10"/>
    <mergeCell ref="I9:J10"/>
  </mergeCells>
  <pageMargins left="0.70866141732283472" right="0.70866141732283472" top="0.74803149606299213" bottom="0.74803149606299213" header="0.31496062992125984" footer="0.31496062992125984"/>
  <pageSetup paperSize="9" scale="75"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A7" sqref="A7:I7"/>
    </sheetView>
  </sheetViews>
  <sheetFormatPr baseColWidth="10" defaultRowHeight="12"/>
  <cols>
    <col min="1" max="1" width="44.42578125" style="87" customWidth="1"/>
    <col min="2" max="16384" width="11.42578125" style="87"/>
  </cols>
  <sheetData>
    <row r="1" spans="1:9">
      <c r="A1" s="205"/>
    </row>
    <row r="2" spans="1:9">
      <c r="A2" s="205"/>
    </row>
    <row r="3" spans="1:9">
      <c r="A3" s="198"/>
      <c r="C3" s="198"/>
    </row>
    <row r="4" spans="1:9" ht="15">
      <c r="A4" s="4" t="str">
        <f>_soNom</f>
        <v>Cecotra</v>
      </c>
      <c r="B4"/>
      <c r="C4"/>
      <c r="F4" s="1342" t="str">
        <f>_ExerClos</f>
        <v>Exercice clos le 31/12/2025</v>
      </c>
      <c r="G4" s="1342"/>
      <c r="H4" s="1342"/>
    </row>
    <row r="5" spans="1:9" ht="15">
      <c r="A5" s="6" t="str">
        <f>_soId</f>
        <v> 3201810353457</v>
      </c>
      <c r="B5"/>
      <c r="C5"/>
      <c r="F5" s="1341" t="str">
        <f>_Duree</f>
        <v>Durée (en mois) 12</v>
      </c>
      <c r="G5" s="1341"/>
      <c r="H5" s="1341"/>
    </row>
    <row r="6" spans="1:9" ht="15" customHeight="1">
      <c r="A6" s="1595" t="s">
        <v>1200</v>
      </c>
      <c r="B6" s="1595"/>
      <c r="C6" s="1595"/>
      <c r="D6" s="1595"/>
      <c r="E6" s="1595"/>
      <c r="F6" s="1595"/>
      <c r="G6" s="1595"/>
      <c r="H6" s="1595"/>
      <c r="I6" s="1595"/>
    </row>
    <row r="7" spans="1:9" ht="14.25">
      <c r="A7" s="1723" t="s">
        <v>1210</v>
      </c>
      <c r="B7" s="1723"/>
      <c r="C7" s="1723"/>
      <c r="D7" s="1723"/>
      <c r="E7" s="1723"/>
      <c r="F7" s="1723"/>
      <c r="G7" s="1723"/>
      <c r="H7" s="1723"/>
      <c r="I7" s="1723"/>
    </row>
    <row r="8" spans="1:9" ht="12.75" thickBot="1">
      <c r="A8" s="198"/>
    </row>
    <row r="9" spans="1:9" ht="17.25" customHeight="1">
      <c r="A9" s="1724" t="s">
        <v>1201</v>
      </c>
      <c r="B9" s="1727" t="s">
        <v>1194</v>
      </c>
      <c r="C9" s="1705" t="s">
        <v>1202</v>
      </c>
      <c r="D9" s="1730"/>
      <c r="E9" s="1730"/>
      <c r="F9" s="1730"/>
      <c r="G9" s="1730"/>
      <c r="H9" s="1706"/>
      <c r="I9" s="453"/>
    </row>
    <row r="10" spans="1:9" ht="26.25" customHeight="1">
      <c r="A10" s="1725"/>
      <c r="B10" s="1728"/>
      <c r="C10" s="1707" t="s">
        <v>1204</v>
      </c>
      <c r="D10" s="1731"/>
      <c r="E10" s="1731" t="s">
        <v>1205</v>
      </c>
      <c r="F10" s="1731"/>
      <c r="G10" s="1731"/>
      <c r="H10" s="1708"/>
      <c r="I10" s="454" t="s">
        <v>1203</v>
      </c>
    </row>
    <row r="11" spans="1:9" ht="18.75" customHeight="1">
      <c r="A11" s="1725"/>
      <c r="B11" s="1728"/>
      <c r="C11" s="1707"/>
      <c r="D11" s="1731"/>
      <c r="E11" s="1731" t="s">
        <v>1206</v>
      </c>
      <c r="F11" s="1731"/>
      <c r="G11" s="1731" t="s">
        <v>1207</v>
      </c>
      <c r="H11" s="1708"/>
      <c r="I11" s="455"/>
    </row>
    <row r="12" spans="1:9" ht="12.75" thickBot="1">
      <c r="A12" s="1726"/>
      <c r="B12" s="1729"/>
      <c r="C12" s="462" t="s">
        <v>1197</v>
      </c>
      <c r="D12" s="445" t="s">
        <v>1198</v>
      </c>
      <c r="E12" s="445" t="s">
        <v>1197</v>
      </c>
      <c r="F12" s="445" t="s">
        <v>1198</v>
      </c>
      <c r="G12" s="445" t="s">
        <v>1197</v>
      </c>
      <c r="H12" s="446" t="s">
        <v>1198</v>
      </c>
      <c r="I12" s="456" t="s">
        <v>1208</v>
      </c>
    </row>
    <row r="13" spans="1:9" ht="20.100000000000001" customHeight="1">
      <c r="A13" s="449"/>
      <c r="B13" s="451"/>
      <c r="C13" s="287"/>
      <c r="D13" s="288"/>
      <c r="E13" s="288"/>
      <c r="F13" s="288"/>
      <c r="G13" s="288"/>
      <c r="H13" s="289"/>
      <c r="I13" s="457"/>
    </row>
    <row r="14" spans="1:9" ht="20.100000000000001" customHeight="1">
      <c r="A14" s="450"/>
      <c r="B14" s="452"/>
      <c r="C14" s="285"/>
      <c r="D14" s="284"/>
      <c r="E14" s="284"/>
      <c r="F14" s="284"/>
      <c r="G14" s="284"/>
      <c r="H14" s="286"/>
      <c r="I14" s="458"/>
    </row>
    <row r="15" spans="1:9" ht="20.100000000000001" customHeight="1">
      <c r="A15" s="450"/>
      <c r="B15" s="452"/>
      <c r="C15" s="285"/>
      <c r="D15" s="284"/>
      <c r="E15" s="284"/>
      <c r="F15" s="284"/>
      <c r="G15" s="284"/>
      <c r="H15" s="286"/>
      <c r="I15" s="458"/>
    </row>
    <row r="16" spans="1:9" ht="20.100000000000001" customHeight="1">
      <c r="A16" s="450"/>
      <c r="B16" s="452"/>
      <c r="C16" s="285"/>
      <c r="D16" s="284"/>
      <c r="E16" s="284"/>
      <c r="F16" s="284"/>
      <c r="G16" s="284"/>
      <c r="H16" s="286"/>
      <c r="I16" s="458"/>
    </row>
    <row r="17" spans="1:9" ht="20.100000000000001" customHeight="1">
      <c r="A17" s="450"/>
      <c r="B17" s="452"/>
      <c r="C17" s="285"/>
      <c r="D17" s="284"/>
      <c r="E17" s="284"/>
      <c r="F17" s="284"/>
      <c r="G17" s="284"/>
      <c r="H17" s="286"/>
      <c r="I17" s="458"/>
    </row>
    <row r="18" spans="1:9" ht="20.100000000000001" customHeight="1">
      <c r="A18" s="450"/>
      <c r="B18" s="452"/>
      <c r="C18" s="285"/>
      <c r="D18" s="284"/>
      <c r="E18" s="284"/>
      <c r="F18" s="284"/>
      <c r="G18" s="284"/>
      <c r="H18" s="286"/>
      <c r="I18" s="458"/>
    </row>
    <row r="19" spans="1:9" ht="20.100000000000001" customHeight="1">
      <c r="A19" s="450"/>
      <c r="B19" s="452"/>
      <c r="C19" s="285"/>
      <c r="D19" s="284"/>
      <c r="E19" s="284"/>
      <c r="F19" s="284"/>
      <c r="G19" s="284"/>
      <c r="H19" s="286"/>
      <c r="I19" s="458"/>
    </row>
    <row r="20" spans="1:9" ht="20.100000000000001" customHeight="1">
      <c r="A20" s="450"/>
      <c r="B20" s="452"/>
      <c r="C20" s="285"/>
      <c r="D20" s="284"/>
      <c r="E20" s="284"/>
      <c r="F20" s="284"/>
      <c r="G20" s="284"/>
      <c r="H20" s="286"/>
      <c r="I20" s="458"/>
    </row>
    <row r="21" spans="1:9" ht="20.100000000000001" customHeight="1">
      <c r="A21" s="450"/>
      <c r="B21" s="452"/>
      <c r="C21" s="285"/>
      <c r="D21" s="284"/>
      <c r="E21" s="284"/>
      <c r="F21" s="284"/>
      <c r="G21" s="284"/>
      <c r="H21" s="286"/>
      <c r="I21" s="458"/>
    </row>
    <row r="22" spans="1:9" ht="20.100000000000001" customHeight="1">
      <c r="A22" s="1715" t="s">
        <v>1209</v>
      </c>
      <c r="B22" s="1717"/>
      <c r="C22" s="285"/>
      <c r="D22" s="284"/>
      <c r="E22" s="284"/>
      <c r="F22" s="284"/>
      <c r="G22" s="284"/>
      <c r="H22" s="286"/>
      <c r="I22" s="458"/>
    </row>
    <row r="23" spans="1:9" ht="20.100000000000001" customHeight="1" thickBot="1">
      <c r="A23" s="1716"/>
      <c r="B23" s="1718"/>
      <c r="C23" s="322"/>
      <c r="D23" s="291"/>
      <c r="E23" s="291"/>
      <c r="F23" s="291"/>
      <c r="G23" s="291"/>
      <c r="H23" s="323"/>
      <c r="I23" s="459"/>
    </row>
    <row r="24" spans="1:9" ht="20.100000000000001" customHeight="1">
      <c r="A24" s="1719" t="s">
        <v>720</v>
      </c>
      <c r="B24" s="1721"/>
      <c r="C24" s="463"/>
      <c r="D24" s="447"/>
      <c r="E24" s="447"/>
      <c r="F24" s="447"/>
      <c r="G24" s="447"/>
      <c r="H24" s="448"/>
      <c r="I24" s="460"/>
    </row>
    <row r="25" spans="1:9" ht="20.100000000000001" customHeight="1" thickBot="1">
      <c r="A25" s="1720"/>
      <c r="B25" s="1722"/>
      <c r="C25" s="436"/>
      <c r="D25" s="417"/>
      <c r="E25" s="417"/>
      <c r="F25" s="417"/>
      <c r="G25" s="417"/>
      <c r="H25" s="418"/>
      <c r="I25" s="461"/>
    </row>
  </sheetData>
  <mergeCells count="15">
    <mergeCell ref="F4:H4"/>
    <mergeCell ref="F5:H5"/>
    <mergeCell ref="A22:A23"/>
    <mergeCell ref="B22:B23"/>
    <mergeCell ref="A24:A25"/>
    <mergeCell ref="B24:B25"/>
    <mergeCell ref="A7:I7"/>
    <mergeCell ref="A6:I6"/>
    <mergeCell ref="A9:A12"/>
    <mergeCell ref="B9:B12"/>
    <mergeCell ref="C9:H9"/>
    <mergeCell ref="C10:D11"/>
    <mergeCell ref="E10:H10"/>
    <mergeCell ref="E11:F11"/>
    <mergeCell ref="G11:H11"/>
  </mergeCells>
  <pageMargins left="0.70866141732283472" right="0.70866141732283472" top="0.74803149606299213" bottom="0.74803149606299213" header="0.31496062992125984" footer="0.31496062992125984"/>
  <pageSetup paperSize="9" scale="95"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showZeros="0" topLeftCell="A25" workbookViewId="0">
      <selection activeCell="C48" sqref="C48"/>
    </sheetView>
  </sheetViews>
  <sheetFormatPr baseColWidth="10" defaultRowHeight="15"/>
  <cols>
    <col min="1" max="1" width="21.42578125" customWidth="1"/>
    <col min="2" max="2" width="52.42578125" customWidth="1"/>
    <col min="3" max="4" width="15.7109375" customWidth="1"/>
    <col min="5" max="5" width="11.85546875" customWidth="1"/>
    <col min="7" max="7" width="12.7109375" bestFit="1" customWidth="1"/>
  </cols>
  <sheetData>
    <row r="1" spans="1:5" ht="25.5">
      <c r="A1" s="359" t="s">
        <v>0</v>
      </c>
      <c r="B1" s="315" t="s">
        <v>990</v>
      </c>
    </row>
    <row r="2" spans="1:5" ht="21" customHeight="1">
      <c r="A2" s="4" t="str">
        <f>_soNom</f>
        <v>Cecotra</v>
      </c>
      <c r="C2" s="1342" t="str">
        <f>_ExerClos</f>
        <v>Exercice clos le 31/12/2025</v>
      </c>
      <c r="D2" s="1342"/>
      <c r="E2" s="1342"/>
    </row>
    <row r="3" spans="1:5">
      <c r="A3" s="6" t="str">
        <f>_soId</f>
        <v> 3201810353457</v>
      </c>
      <c r="C3" s="1341" t="str">
        <f>_Duree</f>
        <v>Durée (en mois) 12</v>
      </c>
      <c r="D3" s="1341"/>
      <c r="E3" s="1341"/>
    </row>
    <row r="4" spans="1:5">
      <c r="A4" s="1497" t="s">
        <v>991</v>
      </c>
      <c r="B4" s="1497"/>
      <c r="C4" s="1497"/>
      <c r="D4" s="1497"/>
      <c r="E4" s="1497"/>
    </row>
    <row r="5" spans="1:5" ht="15.75" thickBot="1">
      <c r="A5" s="1744" t="s">
        <v>992</v>
      </c>
      <c r="B5" s="1744"/>
      <c r="C5" s="1744"/>
      <c r="D5" s="1744"/>
      <c r="E5" s="1744"/>
    </row>
    <row r="6" spans="1:5" ht="15" customHeight="1">
      <c r="A6" s="1758" t="s">
        <v>993</v>
      </c>
      <c r="B6" s="1759"/>
      <c r="C6" s="1762" t="str">
        <f>_ExerFin</f>
        <v xml:space="preserve"> 31/12/2025</v>
      </c>
      <c r="D6" s="1762" t="str">
        <f>_ExerFin1</f>
        <v xml:space="preserve"> 31/12/2024</v>
      </c>
      <c r="E6" s="1762" t="s">
        <v>417</v>
      </c>
    </row>
    <row r="7" spans="1:5" ht="15" customHeight="1" thickBot="1">
      <c r="A7" s="1760"/>
      <c r="B7" s="1761"/>
      <c r="C7" s="1763"/>
      <c r="D7" s="1763"/>
      <c r="E7" s="1763"/>
    </row>
    <row r="8" spans="1:5" ht="15" customHeight="1" thickBot="1">
      <c r="A8" s="1777" t="s">
        <v>994</v>
      </c>
      <c r="B8" s="1778"/>
      <c r="C8" s="1778"/>
      <c r="D8" s="361"/>
      <c r="E8" s="362"/>
    </row>
    <row r="9" spans="1:5" ht="15" customHeight="1" thickBot="1">
      <c r="A9" s="1773" t="s">
        <v>995</v>
      </c>
      <c r="B9" s="1774"/>
      <c r="C9" s="363"/>
      <c r="D9" s="363"/>
      <c r="E9" s="363"/>
    </row>
    <row r="10" spans="1:5" ht="15" customHeight="1" thickBot="1">
      <c r="A10" s="1751" t="s">
        <v>996</v>
      </c>
      <c r="B10" s="1752"/>
      <c r="C10" s="1115">
        <f>RESULTAT!E16</f>
        <v>983417641</v>
      </c>
      <c r="D10" s="1115">
        <f>RESULTAT!F16</f>
        <v>105559492</v>
      </c>
      <c r="E10" s="1116">
        <f>IF(D10=0,0,(C10-D10)/D10)*100</f>
        <v>831.62407507607179</v>
      </c>
    </row>
    <row r="11" spans="1:5" ht="15" customHeight="1" thickBot="1">
      <c r="A11" s="1736" t="s">
        <v>997</v>
      </c>
      <c r="B11" s="1737"/>
      <c r="C11" s="1115">
        <f>RESULTAT!E12</f>
        <v>27456700</v>
      </c>
      <c r="D11" s="1115">
        <f>RESULTAT!F12</f>
        <v>6706242</v>
      </c>
      <c r="E11" s="1116">
        <f t="shared" ref="E11:E19" si="0">IF(D11=0,0,(C11-D11)/D11)*100</f>
        <v>309.42005969960525</v>
      </c>
    </row>
    <row r="12" spans="1:5" ht="15" customHeight="1" thickBot="1">
      <c r="A12" s="1736" t="s">
        <v>998</v>
      </c>
      <c r="B12" s="1737"/>
      <c r="C12" s="1115">
        <f>RESULTAT!E30</f>
        <v>26585014</v>
      </c>
      <c r="D12" s="1115">
        <f>RESULTAT!F30</f>
        <v>5879942</v>
      </c>
      <c r="E12" s="1116">
        <f t="shared" si="0"/>
        <v>352.1305482264961</v>
      </c>
    </row>
    <row r="13" spans="1:5" ht="15" customHeight="1" thickBot="1">
      <c r="A13" s="1736" t="s">
        <v>999</v>
      </c>
      <c r="B13" s="1737"/>
      <c r="C13" s="1115">
        <f>RESULTAT!E32</f>
        <v>22872214</v>
      </c>
      <c r="D13" s="1115">
        <f>RESULTAT!F32</f>
        <v>2167142</v>
      </c>
      <c r="E13" s="1116">
        <f t="shared" si="0"/>
        <v>955.40910563313344</v>
      </c>
    </row>
    <row r="14" spans="1:5" ht="15" customHeight="1" thickBot="1">
      <c r="A14" s="1736" t="s">
        <v>1000</v>
      </c>
      <c r="B14" s="1737"/>
      <c r="C14" s="1115">
        <f>RESULTAT!E35</f>
        <v>22872214</v>
      </c>
      <c r="D14" s="1115">
        <f>RESULTAT!F35</f>
        <v>1473613</v>
      </c>
      <c r="E14" s="1116">
        <f t="shared" si="0"/>
        <v>1452.1180934207284</v>
      </c>
    </row>
    <row r="15" spans="1:5" ht="15" customHeight="1" thickBot="1">
      <c r="A15" s="1736" t="s">
        <v>1001</v>
      </c>
      <c r="B15" s="1737"/>
      <c r="C15" s="1115">
        <f>RESULTAT!E41</f>
        <v>0</v>
      </c>
      <c r="D15" s="1115">
        <f>RESULTAT!F41</f>
        <v>0</v>
      </c>
      <c r="E15" s="1116">
        <f t="shared" si="0"/>
        <v>0</v>
      </c>
    </row>
    <row r="16" spans="1:5" ht="15" customHeight="1" thickBot="1">
      <c r="A16" s="1736" t="s">
        <v>1002</v>
      </c>
      <c r="B16" s="1737"/>
      <c r="C16" s="1115">
        <f>RESULTAT!E42</f>
        <v>22872214</v>
      </c>
      <c r="D16" s="1115">
        <f>RESULTAT!F42</f>
        <v>1473613</v>
      </c>
      <c r="E16" s="1116">
        <f t="shared" si="0"/>
        <v>1452.1180934207284</v>
      </c>
    </row>
    <row r="17" spans="1:6" ht="15" customHeight="1" thickBot="1">
      <c r="A17" s="1736" t="s">
        <v>1003</v>
      </c>
      <c r="B17" s="1737"/>
      <c r="C17" s="1115">
        <f>RESULTAT!E47</f>
        <v>0</v>
      </c>
      <c r="D17" s="1115">
        <f>RESULTAT!F47</f>
        <v>0</v>
      </c>
      <c r="E17" s="1116">
        <f t="shared" si="0"/>
        <v>0</v>
      </c>
    </row>
    <row r="18" spans="1:6" ht="15" customHeight="1" thickBot="1">
      <c r="A18" s="1766" t="s">
        <v>1004</v>
      </c>
      <c r="B18" s="1767"/>
      <c r="C18" s="1115">
        <f>RESULTAT!E50</f>
        <v>16010614</v>
      </c>
      <c r="D18" s="1115">
        <f>RESULTAT!F50</f>
        <v>418023</v>
      </c>
      <c r="E18" s="1116">
        <f t="shared" si="0"/>
        <v>3730.0796846106559</v>
      </c>
    </row>
    <row r="19" spans="1:6" ht="15" customHeight="1" thickBot="1">
      <c r="A19" s="1775" t="s">
        <v>1005</v>
      </c>
      <c r="B19" s="1776"/>
      <c r="C19" s="1117"/>
      <c r="D19" s="1117"/>
      <c r="E19" s="1117">
        <f t="shared" si="0"/>
        <v>0</v>
      </c>
    </row>
    <row r="20" spans="1:6" ht="15" customHeight="1" thickBot="1">
      <c r="A20" s="1747" t="s">
        <v>1006</v>
      </c>
      <c r="B20" s="1748"/>
      <c r="C20" s="1115">
        <f>C13</f>
        <v>22872214</v>
      </c>
      <c r="D20" s="1115">
        <f>D13</f>
        <v>2167142</v>
      </c>
      <c r="E20" s="1118"/>
    </row>
    <row r="21" spans="1:6" ht="15" customHeight="1" thickBot="1">
      <c r="A21" s="1736" t="s">
        <v>1007</v>
      </c>
      <c r="B21" s="1737"/>
      <c r="C21" s="1115">
        <v>0</v>
      </c>
      <c r="D21" s="1115">
        <v>0</v>
      </c>
      <c r="E21" s="1118"/>
    </row>
    <row r="22" spans="1:6" ht="15" customHeight="1" thickBot="1">
      <c r="A22" s="1738" t="s">
        <v>1008</v>
      </c>
      <c r="B22" s="1739"/>
      <c r="C22" s="1115">
        <v>0</v>
      </c>
      <c r="D22" s="1115">
        <v>0</v>
      </c>
      <c r="E22" s="1118"/>
    </row>
    <row r="23" spans="1:6" ht="19.5" customHeight="1" thickBot="1">
      <c r="A23" s="1745" t="s">
        <v>1009</v>
      </c>
      <c r="B23" s="1746"/>
      <c r="C23" s="1119">
        <f>C20+C21-C22</f>
        <v>22872214</v>
      </c>
      <c r="D23" s="1119">
        <f>D20+D21-D22</f>
        <v>2167142</v>
      </c>
      <c r="E23" s="1120" t="s">
        <v>7</v>
      </c>
    </row>
    <row r="24" spans="1:6" ht="15" customHeight="1" thickBot="1">
      <c r="A24" s="1736" t="s">
        <v>1010</v>
      </c>
      <c r="B24" s="1737"/>
      <c r="C24" s="1115">
        <f>RESULTAT!E36</f>
        <v>0</v>
      </c>
      <c r="D24" s="1115">
        <f>RESULTAT!F36</f>
        <v>0</v>
      </c>
      <c r="E24" s="1118"/>
    </row>
    <row r="25" spans="1:6" ht="15" customHeight="1" thickBot="1">
      <c r="A25" s="1736" t="s">
        <v>1011</v>
      </c>
      <c r="B25" s="1737"/>
      <c r="C25" s="1115">
        <v>0</v>
      </c>
      <c r="D25" s="1115">
        <v>0</v>
      </c>
      <c r="E25" s="1118">
        <v>0</v>
      </c>
      <c r="F25">
        <v>0</v>
      </c>
    </row>
    <row r="26" spans="1:6" ht="15" customHeight="1" thickBot="1">
      <c r="A26" s="1736" t="s">
        <v>1012</v>
      </c>
      <c r="B26" s="1737"/>
      <c r="C26" s="1115">
        <f>RESULTAT!E38</f>
        <v>0</v>
      </c>
      <c r="D26" s="1115">
        <v>0</v>
      </c>
      <c r="E26" s="1118"/>
    </row>
    <row r="27" spans="1:6" ht="15" customHeight="1" thickBot="1">
      <c r="A27" s="1736" t="s">
        <v>1013</v>
      </c>
      <c r="B27" s="1737"/>
      <c r="C27" s="1115">
        <f>RESULTAT!E44</f>
        <v>0</v>
      </c>
      <c r="D27" s="1115"/>
      <c r="E27" s="1118"/>
    </row>
    <row r="28" spans="1:6" ht="15" customHeight="1" thickBot="1">
      <c r="A28" s="1736" t="s">
        <v>1014</v>
      </c>
      <c r="B28" s="1737"/>
      <c r="C28" s="1115">
        <v>0</v>
      </c>
      <c r="D28" s="1115">
        <v>0</v>
      </c>
      <c r="E28" s="1118">
        <v>0</v>
      </c>
      <c r="F28">
        <v>0</v>
      </c>
    </row>
    <row r="29" spans="1:6" ht="15" customHeight="1" thickBot="1">
      <c r="A29" s="1732" t="s">
        <v>1015</v>
      </c>
      <c r="B29" s="1733"/>
      <c r="C29" s="1115">
        <f>RESULTAT!E39</f>
        <v>0</v>
      </c>
      <c r="D29" s="1115">
        <f>RESULTAT!F39</f>
        <v>0</v>
      </c>
      <c r="E29" s="1118"/>
    </row>
    <row r="30" spans="1:6" ht="15" customHeight="1" thickBot="1">
      <c r="A30" s="1732" t="s">
        <v>1016</v>
      </c>
      <c r="B30" s="1733"/>
      <c r="C30" s="1115">
        <v>0</v>
      </c>
      <c r="D30" s="1115">
        <v>0</v>
      </c>
      <c r="E30" s="1118"/>
      <c r="F30">
        <v>0</v>
      </c>
    </row>
    <row r="31" spans="1:6" ht="15" customHeight="1" thickBot="1">
      <c r="A31" s="1732" t="s">
        <v>1017</v>
      </c>
      <c r="B31" s="1733"/>
      <c r="C31" s="1115">
        <f>RESULTAT!E48</f>
        <v>0</v>
      </c>
      <c r="D31" s="1115">
        <v>0</v>
      </c>
      <c r="E31" s="1118"/>
    </row>
    <row r="32" spans="1:6" ht="15" customHeight="1" thickBot="1">
      <c r="A32" s="1756" t="s">
        <v>1018</v>
      </c>
      <c r="B32" s="1757"/>
      <c r="C32" s="1115">
        <f>RESULTAT!E49</f>
        <v>6861600</v>
      </c>
      <c r="D32" s="1115">
        <f>RESULTAT!F49</f>
        <v>1055590</v>
      </c>
      <c r="E32" s="1118"/>
    </row>
    <row r="33" spans="1:5" ht="15" customHeight="1" thickBot="1">
      <c r="A33" s="1745" t="s">
        <v>1019</v>
      </c>
      <c r="B33" s="1746"/>
      <c r="C33" s="1121">
        <f>TFT!H14</f>
        <v>16010614</v>
      </c>
      <c r="D33" s="1121">
        <f>TFT!I14</f>
        <v>1531924</v>
      </c>
      <c r="E33" s="1122">
        <f>IF(D33=0,0,(C33-D33)/D33)*100</f>
        <v>945.1310900540758</v>
      </c>
    </row>
    <row r="34" spans="1:5" ht="15" customHeight="1" thickBot="1">
      <c r="A34" s="1738" t="s">
        <v>1020</v>
      </c>
      <c r="B34" s="1739"/>
      <c r="C34" s="1123">
        <f>TFT!H32</f>
        <v>0</v>
      </c>
      <c r="D34" s="1123">
        <f>TFT!I32</f>
        <v>0</v>
      </c>
      <c r="E34" s="1158">
        <f>IF(D34=0,0,(C34-D34)/D34)*100</f>
        <v>0</v>
      </c>
    </row>
    <row r="35" spans="1:5" ht="15" customHeight="1" thickBot="1">
      <c r="A35" s="1740" t="s">
        <v>1021</v>
      </c>
      <c r="B35" s="1741"/>
      <c r="C35" s="1122">
        <f>C33-C34</f>
        <v>16010614</v>
      </c>
      <c r="D35" s="1122">
        <f>D33-D34</f>
        <v>1531924</v>
      </c>
      <c r="E35" s="1122">
        <f>IF(D35=0,0,(C35-D35)/D35)*100</f>
        <v>945.1310900540758</v>
      </c>
    </row>
    <row r="36" spans="1:5" ht="15" customHeight="1" thickBot="1">
      <c r="A36" s="1753" t="s">
        <v>1022</v>
      </c>
      <c r="B36" s="1754"/>
      <c r="C36" s="1754"/>
      <c r="D36" s="1754"/>
      <c r="E36" s="1755"/>
    </row>
    <row r="37" spans="1:5" ht="15" customHeight="1" thickBot="1">
      <c r="A37" s="1747" t="s">
        <v>1023</v>
      </c>
      <c r="B37" s="1748"/>
      <c r="C37" s="1116">
        <f>IF((PASSIF!D22+PASSIF!D23)=0,0,(RESULTAT!E32/(PASSIF!D22+PASSIF!D23)))</f>
        <v>0.48318715819190827</v>
      </c>
      <c r="D37" s="1116">
        <f>IF(PASSIF!E22+PASSIF!E23=0,0,RESULTAT!F32/(PASSIF!E22+PASSIF!E23))</f>
        <v>6.9181348730192035E-2</v>
      </c>
      <c r="E37" s="1116">
        <f>IF(D37=0,0,(C37-D37)/D37)*100</f>
        <v>598.43558568992796</v>
      </c>
    </row>
    <row r="38" spans="1:5" ht="15" customHeight="1" thickBot="1">
      <c r="A38" s="1749" t="s">
        <v>1024</v>
      </c>
      <c r="B38" s="1750"/>
      <c r="C38" s="1116">
        <f>IF(PASSIF!D22=0,0,RESULTAT!E50/PASSIF!D22)</f>
        <v>0.33823236699200093</v>
      </c>
      <c r="D38" s="1116">
        <f>IF(PASSIF!E22=0,0,RESULTAT!F50/PASSIF!E22)</f>
        <v>1.3344485474528694E-2</v>
      </c>
      <c r="E38" s="1116">
        <f>IF(D38=0,0,(C38-D38)/D38)*100</f>
        <v>2434.6227671168172</v>
      </c>
    </row>
    <row r="39" spans="1:5" ht="15" customHeight="1" thickBot="1">
      <c r="A39" s="1753" t="s">
        <v>1025</v>
      </c>
      <c r="B39" s="1754"/>
      <c r="C39" s="1754"/>
      <c r="D39" s="1754"/>
      <c r="E39" s="1755"/>
    </row>
    <row r="40" spans="1:5" ht="15" customHeight="1" thickBot="1">
      <c r="A40" s="1751" t="s">
        <v>1026</v>
      </c>
      <c r="B40" s="1752"/>
      <c r="C40" s="1115">
        <f>PASSIF!D22</f>
        <v>47336138</v>
      </c>
      <c r="D40" s="1115">
        <f>PASSIF!E22</f>
        <v>31325524</v>
      </c>
      <c r="E40" s="1116">
        <f>IF(D40=0,0,(C40-D40)/D40)*100</f>
        <v>51.110442717574337</v>
      </c>
    </row>
    <row r="41" spans="1:5" ht="15" customHeight="1" thickBot="1">
      <c r="A41" s="1736" t="s">
        <v>1027</v>
      </c>
      <c r="B41" s="1737"/>
      <c r="C41" s="1115">
        <f>PASSIF!D26</f>
        <v>0</v>
      </c>
      <c r="D41" s="1115">
        <f>PASSIF!E26</f>
        <v>0</v>
      </c>
      <c r="E41" s="1116">
        <f>IF(D41=0,0,(C41-D41)/D41)*100</f>
        <v>0</v>
      </c>
    </row>
    <row r="42" spans="1:5" ht="15" customHeight="1" thickBot="1">
      <c r="A42" s="1742" t="s">
        <v>1028</v>
      </c>
      <c r="B42" s="1743"/>
      <c r="C42" s="1124">
        <f>C40+C41</f>
        <v>47336138</v>
      </c>
      <c r="D42" s="1124">
        <f t="shared" ref="D42" si="1">D40+D41</f>
        <v>31325524</v>
      </c>
      <c r="E42" s="1116">
        <f>IF(D42=0,0,(C42-D42)/D42)*100</f>
        <v>51.110442717574337</v>
      </c>
    </row>
    <row r="43" spans="1:5" ht="15" customHeight="1" thickBot="1">
      <c r="A43" s="1734" t="s">
        <v>1029</v>
      </c>
      <c r="B43" s="1735"/>
      <c r="C43" s="1115">
        <f>ACTIF!F27</f>
        <v>3367095</v>
      </c>
      <c r="D43" s="1115">
        <f>ACTIF!G27</f>
        <v>3367095</v>
      </c>
      <c r="E43" s="1116">
        <f>IF(D43=0,0,(C43-D43)/D43)*100</f>
        <v>0</v>
      </c>
    </row>
    <row r="44" spans="1:5" ht="15" customHeight="1" thickBot="1">
      <c r="A44" s="1745" t="s">
        <v>1521</v>
      </c>
      <c r="B44" s="1746"/>
      <c r="C44" s="1125">
        <f>C42-C43</f>
        <v>43969043</v>
      </c>
      <c r="D44" s="1125">
        <f>D42-D43</f>
        <v>27958429</v>
      </c>
      <c r="E44" s="1126">
        <f>IF(D44=0,0,(C44-D44)/D44)</f>
        <v>0.57265785570426719</v>
      </c>
    </row>
    <row r="45" spans="1:5" ht="15" customHeight="1" thickBot="1">
      <c r="A45" s="1736" t="s">
        <v>1030</v>
      </c>
      <c r="B45" s="1737"/>
      <c r="C45" s="1127">
        <f>ACTIF!F29+ACTIF!F30</f>
        <v>75487514</v>
      </c>
      <c r="D45" s="1127">
        <f>ACTIF!G29+ACTIF!G30</f>
        <v>52776486</v>
      </c>
      <c r="E45" s="1128">
        <f>IF(D45=0,0,(C45-D45)/D45)*100</f>
        <v>43.032474727476171</v>
      </c>
    </row>
    <row r="46" spans="1:5" ht="15" customHeight="1" thickBot="1">
      <c r="A46" s="1732" t="s">
        <v>1031</v>
      </c>
      <c r="B46" s="1733"/>
      <c r="C46" s="1127">
        <f>PASSIF!D34-PASSIF!D28</f>
        <v>31643607</v>
      </c>
      <c r="D46" s="1127">
        <f>PASSIF!E34-PASSIF!E28</f>
        <v>24782007</v>
      </c>
      <c r="E46" s="1128">
        <f t="shared" ref="E46:E54" si="2">IF(D46=0,0,(C46-D46)/D46)*100</f>
        <v>27.687830126107222</v>
      </c>
    </row>
    <row r="47" spans="1:5" ht="15" customHeight="1" thickBot="1">
      <c r="A47" s="1742" t="s">
        <v>1032</v>
      </c>
      <c r="B47" s="1743"/>
      <c r="C47" s="1124">
        <f>C45-C46</f>
        <v>43843907</v>
      </c>
      <c r="D47" s="1124">
        <f>D45-D46</f>
        <v>27994479</v>
      </c>
      <c r="E47" s="1128">
        <f t="shared" si="2"/>
        <v>56.616263513959311</v>
      </c>
    </row>
    <row r="48" spans="1:5" ht="15" customHeight="1" thickBot="1">
      <c r="A48" s="1736" t="s">
        <v>1033</v>
      </c>
      <c r="B48" s="1737"/>
      <c r="C48" s="1115">
        <f>ACTIF!F28</f>
        <v>0</v>
      </c>
      <c r="D48" s="1115">
        <f>ACTIF!G28</f>
        <v>0</v>
      </c>
      <c r="E48" s="1128">
        <f t="shared" si="2"/>
        <v>0</v>
      </c>
    </row>
    <row r="49" spans="1:7" ht="15" customHeight="1" thickBot="1">
      <c r="A49" s="1732" t="s">
        <v>1034</v>
      </c>
      <c r="B49" s="1733"/>
      <c r="C49" s="1115">
        <f>PASSIF!D28</f>
        <v>0</v>
      </c>
      <c r="D49" s="1115">
        <f>PASSIF!E28</f>
        <v>0</v>
      </c>
      <c r="E49" s="1128">
        <f t="shared" si="2"/>
        <v>0</v>
      </c>
    </row>
    <row r="50" spans="1:7" ht="15" customHeight="1" thickBot="1">
      <c r="A50" s="1734" t="s">
        <v>1035</v>
      </c>
      <c r="B50" s="1735"/>
      <c r="C50" s="1115">
        <f>C48-C49</f>
        <v>0</v>
      </c>
      <c r="D50" s="1115">
        <f>D48-D49</f>
        <v>0</v>
      </c>
      <c r="E50" s="1128">
        <f t="shared" si="2"/>
        <v>0</v>
      </c>
    </row>
    <row r="51" spans="1:7" ht="15" customHeight="1" thickBot="1">
      <c r="A51" s="1745" t="s">
        <v>1036</v>
      </c>
      <c r="B51" s="1746"/>
      <c r="C51" s="1125">
        <f>C47+C50</f>
        <v>43843907</v>
      </c>
      <c r="D51" s="1125">
        <f>D47+D50</f>
        <v>27994479</v>
      </c>
      <c r="E51" s="1125">
        <f t="shared" si="2"/>
        <v>56.616263513959311</v>
      </c>
    </row>
    <row r="52" spans="1:7" ht="6.75" customHeight="1" thickBot="1">
      <c r="A52" s="1768" t="s">
        <v>7</v>
      </c>
      <c r="B52" s="1769"/>
      <c r="C52" s="1129"/>
      <c r="D52" s="1129"/>
      <c r="E52" s="1128">
        <f t="shared" si="2"/>
        <v>0</v>
      </c>
    </row>
    <row r="53" spans="1:7" ht="15" customHeight="1" thickBot="1">
      <c r="A53" s="1764" t="s">
        <v>1520</v>
      </c>
      <c r="B53" s="1765"/>
      <c r="C53" s="1130">
        <f>C44-C51</f>
        <v>125136</v>
      </c>
      <c r="D53" s="1130">
        <f>D44-D51</f>
        <v>-36050</v>
      </c>
      <c r="E53" s="1125">
        <f t="shared" si="2"/>
        <v>-447.11789181692092</v>
      </c>
    </row>
    <row r="54" spans="1:7" ht="15" customHeight="1" thickBot="1">
      <c r="A54" s="1766" t="s">
        <v>1037</v>
      </c>
      <c r="B54" s="1767"/>
      <c r="C54" s="1115">
        <f>ACTIF!F38-PASSIF!D37</f>
        <v>125136</v>
      </c>
      <c r="D54" s="1115">
        <f>ACTIF!G38-PASSIF!E37</f>
        <v>-36050</v>
      </c>
      <c r="E54" s="1115">
        <f t="shared" si="2"/>
        <v>-447.11789181692092</v>
      </c>
    </row>
    <row r="55" spans="1:7" ht="15" customHeight="1" thickBot="1">
      <c r="A55" s="1753" t="s">
        <v>1038</v>
      </c>
      <c r="B55" s="1754"/>
      <c r="C55" s="1754"/>
      <c r="D55" s="1754"/>
      <c r="E55" s="1755"/>
    </row>
    <row r="56" spans="1:7" ht="15" customHeight="1" thickBot="1">
      <c r="A56" s="1747" t="s">
        <v>1039</v>
      </c>
      <c r="B56" s="1748"/>
      <c r="C56" s="1115">
        <f>TFT!H20</f>
        <v>161186</v>
      </c>
      <c r="D56" s="1115">
        <f>TFT!I20</f>
        <v>-144039</v>
      </c>
      <c r="E56" s="1116">
        <f>IF(D56=0,0,(C56-D56)/D56)*100</f>
        <v>-211.90441477655355</v>
      </c>
    </row>
    <row r="57" spans="1:7" ht="15" customHeight="1" thickBot="1">
      <c r="A57" s="1742" t="s">
        <v>1040</v>
      </c>
      <c r="B57" s="1743"/>
      <c r="C57" s="1115">
        <f>TFT!H27</f>
        <v>0</v>
      </c>
      <c r="D57" s="1115">
        <f>TFT!I27</f>
        <v>0</v>
      </c>
      <c r="E57" s="1116">
        <f t="shared" ref="E57:E59" si="3">IF(D57=0,0,(C57-D57)/D57)*100</f>
        <v>0</v>
      </c>
    </row>
    <row r="58" spans="1:7" ht="15" customHeight="1" thickBot="1">
      <c r="A58" s="1734" t="s">
        <v>1041</v>
      </c>
      <c r="B58" s="1735"/>
      <c r="C58" s="1115">
        <f>TFT!H39</f>
        <v>0</v>
      </c>
      <c r="D58" s="1115">
        <f>TFT!I39</f>
        <v>0</v>
      </c>
      <c r="E58" s="1116">
        <f t="shared" si="3"/>
        <v>0</v>
      </c>
    </row>
    <row r="59" spans="1:7" ht="15" customHeight="1" thickBot="1">
      <c r="A59" s="1740" t="s">
        <v>1042</v>
      </c>
      <c r="B59" s="1741"/>
      <c r="C59" s="1125">
        <f>C56+C57+C58</f>
        <v>161186</v>
      </c>
      <c r="D59" s="1125">
        <f>D56+D57+D58</f>
        <v>-144039</v>
      </c>
      <c r="E59" s="1125">
        <f t="shared" si="3"/>
        <v>-211.90441477655355</v>
      </c>
    </row>
    <row r="60" spans="1:7" ht="15" customHeight="1" thickBot="1">
      <c r="A60" s="1753" t="s">
        <v>1043</v>
      </c>
      <c r="B60" s="1754"/>
      <c r="C60" s="1754"/>
      <c r="D60" s="1754"/>
      <c r="E60" s="1755"/>
    </row>
    <row r="61" spans="1:7" ht="15" customHeight="1" thickBot="1">
      <c r="A61" s="1751" t="s">
        <v>1044</v>
      </c>
      <c r="B61" s="1752"/>
      <c r="C61" s="1115">
        <f>PASSIF!D26+PASSIF!D37</f>
        <v>0</v>
      </c>
      <c r="D61" s="1115">
        <f>PASSIF!E26+PASSIF!E37</f>
        <v>36050</v>
      </c>
      <c r="E61" s="1116">
        <f>IF(D61=0,0,(C61-D61)/D61)*100</f>
        <v>-100</v>
      </c>
      <c r="G61" s="746"/>
    </row>
    <row r="62" spans="1:7" ht="15" customHeight="1" thickBot="1">
      <c r="A62" s="1738" t="s">
        <v>1045</v>
      </c>
      <c r="B62" s="1739"/>
      <c r="C62" s="1115">
        <f>ACTIF!F38</f>
        <v>125136</v>
      </c>
      <c r="D62" s="1115">
        <f>ACTIF!G38</f>
        <v>0</v>
      </c>
      <c r="E62" s="1116">
        <f>IF(D62=0,0,(C62-D62)/D62)*100</f>
        <v>0</v>
      </c>
    </row>
    <row r="63" spans="1:7" ht="15.75" thickBot="1">
      <c r="A63" s="1771" t="s">
        <v>1519</v>
      </c>
      <c r="B63" s="1772"/>
      <c r="C63" s="803">
        <f>C61-C62</f>
        <v>-125136</v>
      </c>
      <c r="D63" s="803">
        <f>D61-D62</f>
        <v>36050</v>
      </c>
      <c r="E63" s="804">
        <f>IF(D63=0,0,(C63-D63)/D63)*100</f>
        <v>-447.11789181692092</v>
      </c>
    </row>
    <row r="64" spans="1:7" s="539" customFormat="1">
      <c r="A64" s="9" t="s">
        <v>1046</v>
      </c>
    </row>
    <row r="65" spans="1:5" s="539" customFormat="1" ht="14.25" customHeight="1">
      <c r="A65" s="1487" t="s">
        <v>1211</v>
      </c>
      <c r="B65" s="1487"/>
      <c r="C65" s="1487"/>
      <c r="D65" s="1487"/>
      <c r="E65" s="1487"/>
    </row>
    <row r="66" spans="1:5">
      <c r="A66" s="1770" t="s">
        <v>1522</v>
      </c>
      <c r="B66" s="1770"/>
      <c r="C66" s="1770"/>
      <c r="D66" s="1770"/>
      <c r="E66" s="1770"/>
    </row>
  </sheetData>
  <mergeCells count="66">
    <mergeCell ref="E6:E7"/>
    <mergeCell ref="A20:B20"/>
    <mergeCell ref="A9:B9"/>
    <mergeCell ref="A10:B10"/>
    <mergeCell ref="A11:B11"/>
    <mergeCell ref="A12:B12"/>
    <mergeCell ref="A13:B13"/>
    <mergeCell ref="A14:B14"/>
    <mergeCell ref="A15:B15"/>
    <mergeCell ref="A16:B16"/>
    <mergeCell ref="A17:B17"/>
    <mergeCell ref="A18:B18"/>
    <mergeCell ref="A19:B19"/>
    <mergeCell ref="A8:C8"/>
    <mergeCell ref="D6:D7"/>
    <mergeCell ref="A54:B54"/>
    <mergeCell ref="A51:B51"/>
    <mergeCell ref="A52:B52"/>
    <mergeCell ref="A55:E55"/>
    <mergeCell ref="A66:E66"/>
    <mergeCell ref="A56:B56"/>
    <mergeCell ref="A57:B57"/>
    <mergeCell ref="A58:B58"/>
    <mergeCell ref="A59:B59"/>
    <mergeCell ref="A61:B61"/>
    <mergeCell ref="A62:B62"/>
    <mergeCell ref="A63:B63"/>
    <mergeCell ref="A65:E65"/>
    <mergeCell ref="A60:E60"/>
    <mergeCell ref="A32:B32"/>
    <mergeCell ref="A23:B23"/>
    <mergeCell ref="A6:B7"/>
    <mergeCell ref="C6:C7"/>
    <mergeCell ref="A53:B53"/>
    <mergeCell ref="A31:B31"/>
    <mergeCell ref="A21:B21"/>
    <mergeCell ref="A22:B22"/>
    <mergeCell ref="A24:B24"/>
    <mergeCell ref="A25:B25"/>
    <mergeCell ref="A26:B26"/>
    <mergeCell ref="A27:B27"/>
    <mergeCell ref="A28:B28"/>
    <mergeCell ref="A29:B29"/>
    <mergeCell ref="A30:B30"/>
    <mergeCell ref="A33:B33"/>
    <mergeCell ref="A37:B37"/>
    <mergeCell ref="A38:B38"/>
    <mergeCell ref="A40:B40"/>
    <mergeCell ref="A39:E39"/>
    <mergeCell ref="A36:E36"/>
    <mergeCell ref="C2:E2"/>
    <mergeCell ref="C3:E3"/>
    <mergeCell ref="A49:B49"/>
    <mergeCell ref="A50:B50"/>
    <mergeCell ref="A45:B45"/>
    <mergeCell ref="A34:B34"/>
    <mergeCell ref="A35:B35"/>
    <mergeCell ref="A41:B41"/>
    <mergeCell ref="A42:B42"/>
    <mergeCell ref="A43:B43"/>
    <mergeCell ref="A5:E5"/>
    <mergeCell ref="A4:E4"/>
    <mergeCell ref="A46:B46"/>
    <mergeCell ref="A47:B47"/>
    <mergeCell ref="A48:B48"/>
    <mergeCell ref="A44:B44"/>
  </mergeCells>
  <pageMargins left="0.36" right="0.18" top="0.22" bottom="0.33" header="0.17" footer="0.17"/>
  <pageSetup paperSize="9" scale="75"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
  <sheetViews>
    <sheetView workbookViewId="0">
      <selection activeCell="A12" sqref="A12"/>
    </sheetView>
  </sheetViews>
  <sheetFormatPr baseColWidth="10" defaultRowHeight="15"/>
  <cols>
    <col min="1" max="1" width="115.42578125" customWidth="1"/>
  </cols>
  <sheetData>
    <row r="1" spans="1:1">
      <c r="A1" s="71"/>
    </row>
    <row r="2" spans="1:1" ht="15.75">
      <c r="A2" s="364" t="s">
        <v>1047</v>
      </c>
    </row>
    <row r="3" spans="1:1" ht="6.75" customHeight="1">
      <c r="A3" s="78" t="s">
        <v>0</v>
      </c>
    </row>
    <row r="4" spans="1:1">
      <c r="A4" s="867" t="str">
        <f>_soNom</f>
        <v>Cecotra</v>
      </c>
    </row>
    <row r="5" spans="1:1">
      <c r="A5" s="6" t="str">
        <f>_soId</f>
        <v> 3201810353457</v>
      </c>
    </row>
    <row r="6" spans="1:1" ht="15.75" thickBot="1">
      <c r="A6" s="360" t="s">
        <v>1048</v>
      </c>
    </row>
    <row r="7" spans="1:1" ht="20.100000000000001" customHeight="1" thickBot="1">
      <c r="A7" s="365" t="s">
        <v>1049</v>
      </c>
    </row>
    <row r="8" spans="1:1" ht="20.100000000000001" customHeight="1" thickBot="1">
      <c r="A8" s="215" t="s">
        <v>1050</v>
      </c>
    </row>
    <row r="9" spans="1:1" ht="20.100000000000001" customHeight="1">
      <c r="A9" s="366" t="s">
        <v>1051</v>
      </c>
    </row>
    <row r="10" spans="1:1" ht="20.100000000000001" customHeight="1">
      <c r="A10" s="367" t="s">
        <v>1052</v>
      </c>
    </row>
    <row r="11" spans="1:1" ht="20.100000000000001" customHeight="1">
      <c r="A11" s="368" t="s">
        <v>1053</v>
      </c>
    </row>
    <row r="12" spans="1:1" ht="20.100000000000001" customHeight="1" thickBot="1">
      <c r="A12" s="369" t="s">
        <v>1054</v>
      </c>
    </row>
    <row r="13" spans="1:1" ht="20.100000000000001" customHeight="1">
      <c r="A13" s="366" t="s">
        <v>1055</v>
      </c>
    </row>
    <row r="14" spans="1:1" ht="20.100000000000001" customHeight="1">
      <c r="A14" s="370" t="s">
        <v>1056</v>
      </c>
    </row>
    <row r="15" spans="1:1" ht="20.100000000000001" customHeight="1" thickBot="1">
      <c r="A15" s="371" t="s">
        <v>1057</v>
      </c>
    </row>
    <row r="16" spans="1:1" ht="20.100000000000001" customHeight="1">
      <c r="A16" s="366" t="s">
        <v>1058</v>
      </c>
    </row>
    <row r="17" spans="1:1" ht="24.75" thickBot="1">
      <c r="A17" s="211" t="s">
        <v>1059</v>
      </c>
    </row>
    <row r="18" spans="1:1" ht="20.100000000000001" customHeight="1">
      <c r="A18" s="366" t="s">
        <v>1060</v>
      </c>
    </row>
    <row r="19" spans="1:1" ht="20.100000000000001" customHeight="1">
      <c r="A19" s="370" t="s">
        <v>1061</v>
      </c>
    </row>
    <row r="20" spans="1:1" ht="20.100000000000001" customHeight="1" thickBot="1">
      <c r="A20" s="371" t="s">
        <v>1062</v>
      </c>
    </row>
    <row r="21" spans="1:1" ht="20.100000000000001" customHeight="1">
      <c r="A21" s="366" t="s">
        <v>1063</v>
      </c>
    </row>
    <row r="22" spans="1:1" ht="20.100000000000001" customHeight="1">
      <c r="A22" s="370" t="s">
        <v>1064</v>
      </c>
    </row>
    <row r="23" spans="1:1" ht="20.100000000000001" customHeight="1" thickBot="1">
      <c r="A23" s="371" t="s">
        <v>1065</v>
      </c>
    </row>
    <row r="24" spans="1:1" ht="20.100000000000001" customHeight="1" thickBot="1">
      <c r="A24" s="215" t="s">
        <v>1066</v>
      </c>
    </row>
    <row r="25" spans="1:1" ht="20.100000000000001" customHeight="1">
      <c r="A25" s="366" t="s">
        <v>1067</v>
      </c>
    </row>
    <row r="26" spans="1:1" ht="20.100000000000001" customHeight="1">
      <c r="A26" s="367" t="s">
        <v>1068</v>
      </c>
    </row>
    <row r="27" spans="1:1" ht="20.100000000000001" customHeight="1">
      <c r="A27" s="367" t="s">
        <v>1069</v>
      </c>
    </row>
    <row r="28" spans="1:1" ht="20.100000000000001" customHeight="1" thickBot="1">
      <c r="A28" s="372" t="s">
        <v>1070</v>
      </c>
    </row>
    <row r="29" spans="1:1" ht="20.100000000000001" customHeight="1">
      <c r="A29" s="366" t="s">
        <v>1071</v>
      </c>
    </row>
    <row r="30" spans="1:1" ht="20.100000000000001" customHeight="1">
      <c r="A30" s="373" t="s">
        <v>1072</v>
      </c>
    </row>
    <row r="31" spans="1:1" ht="20.100000000000001" customHeight="1">
      <c r="A31" s="373" t="s">
        <v>1073</v>
      </c>
    </row>
    <row r="32" spans="1:1" ht="20.100000000000001" customHeight="1" thickBot="1">
      <c r="A32" s="374" t="s">
        <v>1074</v>
      </c>
    </row>
    <row r="33" spans="1:1" ht="20.100000000000001" customHeight="1">
      <c r="A33" s="366" t="s">
        <v>1075</v>
      </c>
    </row>
    <row r="34" spans="1:1" ht="20.100000000000001" customHeight="1">
      <c r="A34" s="368" t="s">
        <v>1076</v>
      </c>
    </row>
    <row r="35" spans="1:1" ht="20.100000000000001" customHeight="1">
      <c r="A35" s="368" t="s">
        <v>1077</v>
      </c>
    </row>
    <row r="36" spans="1:1" ht="20.100000000000001" customHeight="1" thickBot="1">
      <c r="A36" s="369" t="s">
        <v>1078</v>
      </c>
    </row>
    <row r="37" spans="1:1" ht="20.100000000000001" customHeight="1">
      <c r="A37" s="366" t="s">
        <v>1079</v>
      </c>
    </row>
    <row r="38" spans="1:1" ht="20.100000000000001" customHeight="1" thickBot="1">
      <c r="A38" s="211" t="s">
        <v>1080</v>
      </c>
    </row>
    <row r="39" spans="1:1" ht="20.100000000000001" customHeight="1">
      <c r="A39" s="366" t="s">
        <v>1081</v>
      </c>
    </row>
    <row r="40" spans="1:1" ht="20.100000000000001" customHeight="1" thickBot="1">
      <c r="A40" s="211" t="s">
        <v>1082</v>
      </c>
    </row>
    <row r="41" spans="1:1" ht="20.100000000000001" customHeight="1">
      <c r="A41" s="375" t="s">
        <v>1083</v>
      </c>
    </row>
    <row r="42" spans="1:1" ht="20.100000000000001" customHeight="1" thickBot="1">
      <c r="A42" s="215" t="s">
        <v>1084</v>
      </c>
    </row>
    <row r="43" spans="1:1" ht="20.100000000000001" customHeight="1">
      <c r="A43" s="366" t="s">
        <v>1085</v>
      </c>
    </row>
    <row r="44" spans="1:1" ht="20.100000000000001" customHeight="1">
      <c r="A44" s="370" t="s">
        <v>1086</v>
      </c>
    </row>
    <row r="45" spans="1:1" ht="20.100000000000001" customHeight="1" thickBot="1">
      <c r="A45" s="371" t="s">
        <v>1087</v>
      </c>
    </row>
    <row r="46" spans="1:1" ht="21.75" customHeight="1">
      <c r="A46" s="366" t="s">
        <v>1088</v>
      </c>
    </row>
    <row r="47" spans="1:1" ht="20.100000000000001" customHeight="1">
      <c r="A47" s="370" t="s">
        <v>1089</v>
      </c>
    </row>
    <row r="48" spans="1:1" ht="20.100000000000001" customHeight="1" thickBot="1">
      <c r="A48" s="371" t="s">
        <v>1090</v>
      </c>
    </row>
    <row r="49" spans="1:1" ht="20.100000000000001" customHeight="1">
      <c r="A49" s="366" t="s">
        <v>1091</v>
      </c>
    </row>
    <row r="50" spans="1:1" ht="20.100000000000001" customHeight="1" thickBot="1">
      <c r="A50" s="211" t="s">
        <v>1092</v>
      </c>
    </row>
    <row r="51" spans="1:1">
      <c r="A51" s="376" t="s">
        <v>0</v>
      </c>
    </row>
  </sheetData>
  <pageMargins left="0.70866141732283472" right="0.70866141732283472" top="0.74803149606299213" bottom="0.74803149606299213" header="0.31496062992125984" footer="0.31496062992125984"/>
  <pageSetup paperSize="9" scale="75"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workbookViewId="0">
      <selection activeCell="A3" sqref="A3"/>
    </sheetView>
  </sheetViews>
  <sheetFormatPr baseColWidth="10" defaultRowHeight="15"/>
  <cols>
    <col min="1" max="1" width="40.28515625" customWidth="1"/>
    <col min="2" max="2" width="3.85546875" customWidth="1"/>
    <col min="3" max="3" width="3.7109375" customWidth="1"/>
    <col min="4" max="4" width="30.140625" customWidth="1"/>
    <col min="5" max="5" width="3.5703125" customWidth="1"/>
    <col min="6" max="6" width="4.28515625" customWidth="1"/>
  </cols>
  <sheetData>
    <row r="1" spans="1:6">
      <c r="A1" s="317"/>
    </row>
    <row r="2" spans="1:6">
      <c r="A2" s="317"/>
    </row>
    <row r="3" spans="1:6">
      <c r="A3" s="317"/>
    </row>
    <row r="4" spans="1:6">
      <c r="A4" s="467" t="s">
        <v>1212</v>
      </c>
      <c r="B4" s="466"/>
      <c r="C4" s="466"/>
      <c r="D4" s="466" t="s">
        <v>1213</v>
      </c>
      <c r="E4" s="551"/>
      <c r="F4" s="552"/>
    </row>
    <row r="5" spans="1:6" ht="17.100000000000001" customHeight="1">
      <c r="A5" s="406"/>
      <c r="B5" s="551"/>
      <c r="C5" s="551"/>
      <c r="D5" s="779"/>
      <c r="E5" s="551"/>
      <c r="F5" s="552"/>
    </row>
    <row r="6" spans="1:6" ht="17.100000000000001" customHeight="1">
      <c r="A6" s="406" t="s">
        <v>1214</v>
      </c>
      <c r="B6" s="551">
        <v>0</v>
      </c>
      <c r="C6" s="551">
        <v>0</v>
      </c>
      <c r="D6" s="779"/>
      <c r="E6" s="551"/>
      <c r="F6" s="552"/>
    </row>
    <row r="7" spans="1:6" ht="17.100000000000001" customHeight="1">
      <c r="A7" s="406"/>
      <c r="B7" s="551"/>
      <c r="C7" s="551"/>
      <c r="D7" s="779" t="s">
        <v>1215</v>
      </c>
      <c r="E7" s="551"/>
      <c r="F7" s="552"/>
    </row>
    <row r="8" spans="1:6" ht="17.100000000000001" customHeight="1">
      <c r="A8" s="406" t="s">
        <v>1216</v>
      </c>
      <c r="B8" s="551">
        <v>0</v>
      </c>
      <c r="C8" s="551">
        <v>1</v>
      </c>
      <c r="D8" s="779"/>
      <c r="E8" s="551"/>
      <c r="F8" s="552"/>
    </row>
    <row r="9" spans="1:6" ht="17.100000000000001" customHeight="1">
      <c r="A9" s="406"/>
      <c r="B9" s="551"/>
      <c r="C9" s="551"/>
      <c r="D9" s="779" t="s">
        <v>1217</v>
      </c>
      <c r="E9" s="551">
        <v>2</v>
      </c>
      <c r="F9" s="552">
        <v>1</v>
      </c>
    </row>
    <row r="10" spans="1:6" ht="17.100000000000001" customHeight="1">
      <c r="A10" s="406" t="s">
        <v>1218</v>
      </c>
      <c r="B10" s="551">
        <v>0</v>
      </c>
      <c r="C10" s="551">
        <v>2</v>
      </c>
      <c r="D10" s="779"/>
      <c r="E10" s="551"/>
      <c r="F10" s="552"/>
    </row>
    <row r="11" spans="1:6" ht="17.100000000000001" customHeight="1">
      <c r="A11" s="406"/>
      <c r="B11" s="551"/>
      <c r="C11" s="551"/>
      <c r="D11" s="779" t="s">
        <v>1219</v>
      </c>
      <c r="E11" s="551">
        <v>2</v>
      </c>
      <c r="F11" s="552">
        <v>3</v>
      </c>
    </row>
    <row r="12" spans="1:6" ht="17.100000000000001" customHeight="1">
      <c r="A12" s="406" t="s">
        <v>1220</v>
      </c>
      <c r="B12" s="551">
        <v>0</v>
      </c>
      <c r="C12" s="551">
        <v>3</v>
      </c>
      <c r="D12" s="779"/>
      <c r="E12" s="551"/>
      <c r="F12" s="552"/>
    </row>
    <row r="13" spans="1:6" ht="17.100000000000001" customHeight="1">
      <c r="A13" s="406"/>
      <c r="B13" s="551"/>
      <c r="C13" s="551"/>
      <c r="D13" s="779" t="s">
        <v>1221</v>
      </c>
      <c r="E13" s="551">
        <v>3</v>
      </c>
      <c r="F13" s="552">
        <v>9</v>
      </c>
    </row>
    <row r="14" spans="1:6" ht="17.100000000000001" customHeight="1">
      <c r="A14" s="406" t="s">
        <v>1222</v>
      </c>
      <c r="B14" s="551">
        <v>0</v>
      </c>
      <c r="C14" s="551">
        <v>4</v>
      </c>
      <c r="D14" s="779"/>
      <c r="E14" s="551"/>
      <c r="F14" s="552"/>
    </row>
    <row r="15" spans="1:6" ht="17.100000000000001" customHeight="1">
      <c r="A15" s="406"/>
      <c r="B15" s="551"/>
      <c r="C15" s="551"/>
      <c r="D15" s="779" t="s">
        <v>1223</v>
      </c>
      <c r="E15" s="551">
        <v>4</v>
      </c>
      <c r="F15" s="552">
        <v>0</v>
      </c>
    </row>
    <row r="16" spans="1:6" ht="17.100000000000001" customHeight="1">
      <c r="A16" s="406" t="s">
        <v>1224</v>
      </c>
      <c r="B16" s="551">
        <v>0</v>
      </c>
      <c r="C16" s="551">
        <v>5</v>
      </c>
      <c r="D16" s="779"/>
      <c r="E16" s="551"/>
      <c r="F16" s="552"/>
    </row>
    <row r="17" spans="1:6" ht="17.100000000000001" customHeight="1">
      <c r="A17" s="406"/>
      <c r="B17" s="551"/>
      <c r="C17" s="551"/>
      <c r="D17" s="779" t="s">
        <v>1225</v>
      </c>
      <c r="E17" s="551">
        <v>4</v>
      </c>
      <c r="F17" s="552">
        <v>1</v>
      </c>
    </row>
    <row r="18" spans="1:6" ht="17.100000000000001" customHeight="1">
      <c r="A18" s="406" t="s">
        <v>1226</v>
      </c>
      <c r="B18" s="551">
        <v>0</v>
      </c>
      <c r="C18" s="551">
        <v>6</v>
      </c>
      <c r="D18" s="779"/>
      <c r="E18" s="551"/>
      <c r="F18" s="552"/>
    </row>
    <row r="19" spans="1:6" ht="17.100000000000001" customHeight="1">
      <c r="A19" s="406"/>
      <c r="B19" s="551"/>
      <c r="C19" s="551"/>
      <c r="D19" s="779" t="s">
        <v>1227</v>
      </c>
      <c r="E19" s="551">
        <v>4</v>
      </c>
      <c r="F19" s="552">
        <v>9</v>
      </c>
    </row>
    <row r="20" spans="1:6" ht="17.100000000000001" customHeight="1">
      <c r="A20" s="406" t="s">
        <v>1228</v>
      </c>
      <c r="B20" s="551">
        <v>0</v>
      </c>
      <c r="C20" s="551">
        <v>7</v>
      </c>
      <c r="D20" s="779"/>
      <c r="E20" s="551"/>
      <c r="F20" s="552"/>
    </row>
    <row r="21" spans="1:6" ht="17.100000000000001" customHeight="1">
      <c r="A21" s="406"/>
      <c r="B21" s="551"/>
      <c r="C21" s="551"/>
      <c r="D21" s="779" t="s">
        <v>1229</v>
      </c>
      <c r="E21" s="551">
        <v>5</v>
      </c>
      <c r="F21" s="552">
        <v>0</v>
      </c>
    </row>
    <row r="22" spans="1:6" ht="17.100000000000001" customHeight="1">
      <c r="A22" s="406" t="s">
        <v>1230</v>
      </c>
      <c r="B22" s="551">
        <v>0</v>
      </c>
      <c r="C22" s="551">
        <v>8</v>
      </c>
      <c r="D22" s="779"/>
      <c r="E22" s="551"/>
      <c r="F22" s="552"/>
    </row>
    <row r="23" spans="1:6" ht="17.100000000000001" customHeight="1">
      <c r="A23" s="406"/>
      <c r="B23" s="551"/>
      <c r="C23" s="551"/>
      <c r="D23" s="779" t="s">
        <v>1231</v>
      </c>
      <c r="E23" s="551">
        <v>9</v>
      </c>
      <c r="F23" s="552">
        <v>9</v>
      </c>
    </row>
    <row r="24" spans="1:6" ht="17.100000000000001" customHeight="1">
      <c r="A24" s="406" t="s">
        <v>1232</v>
      </c>
      <c r="B24" s="551">
        <v>0</v>
      </c>
      <c r="C24" s="551">
        <v>9</v>
      </c>
      <c r="D24" s="779"/>
      <c r="E24" s="551"/>
      <c r="F24" s="552"/>
    </row>
    <row r="25" spans="1:6" ht="17.100000000000001" customHeight="1">
      <c r="A25" s="406"/>
      <c r="B25" s="551"/>
      <c r="C25" s="551"/>
      <c r="D25" s="779"/>
      <c r="E25" s="551"/>
      <c r="F25" s="552"/>
    </row>
    <row r="26" spans="1:6" ht="17.100000000000001" customHeight="1">
      <c r="A26" s="406"/>
      <c r="B26" s="551"/>
      <c r="C26" s="551"/>
      <c r="D26" s="779"/>
      <c r="E26" s="551"/>
      <c r="F26" s="552"/>
    </row>
    <row r="27" spans="1:6" ht="17.100000000000001" customHeight="1">
      <c r="A27" s="406" t="s">
        <v>1233</v>
      </c>
      <c r="B27" s="551"/>
      <c r="C27" s="551"/>
      <c r="D27" s="779"/>
      <c r="E27" s="551"/>
      <c r="F27" s="552"/>
    </row>
    <row r="28" spans="1:6" ht="17.100000000000001" customHeight="1">
      <c r="A28" s="406"/>
      <c r="B28" s="551"/>
      <c r="C28" s="551"/>
      <c r="D28" s="779"/>
      <c r="E28" s="551"/>
      <c r="F28" s="552"/>
    </row>
    <row r="29" spans="1:6" ht="17.100000000000001" customHeight="1">
      <c r="A29" s="406" t="s">
        <v>1234</v>
      </c>
      <c r="B29" s="551"/>
      <c r="C29" s="551">
        <v>1</v>
      </c>
      <c r="D29" s="779"/>
      <c r="E29" s="551"/>
      <c r="F29" s="552"/>
    </row>
    <row r="30" spans="1:6" ht="17.100000000000001" customHeight="1">
      <c r="A30" s="406"/>
      <c r="B30" s="551"/>
      <c r="C30" s="551"/>
      <c r="D30" s="779"/>
      <c r="E30" s="551"/>
      <c r="F30" s="552"/>
    </row>
    <row r="31" spans="1:6" ht="17.100000000000001" customHeight="1">
      <c r="A31" s="406" t="s">
        <v>1235</v>
      </c>
      <c r="B31" s="551"/>
      <c r="C31" s="551">
        <v>2</v>
      </c>
      <c r="D31" s="779"/>
      <c r="E31" s="551"/>
      <c r="F31" s="552"/>
    </row>
    <row r="32" spans="1:6" ht="17.100000000000001" customHeight="1">
      <c r="A32" s="406"/>
      <c r="B32" s="551"/>
      <c r="C32" s="551"/>
      <c r="D32" s="779"/>
      <c r="E32" s="551"/>
      <c r="F32" s="552"/>
    </row>
    <row r="33" spans="1:6" ht="17.100000000000001" customHeight="1">
      <c r="A33" s="406" t="s">
        <v>1236</v>
      </c>
      <c r="B33" s="551"/>
      <c r="C33" s="551">
        <v>3</v>
      </c>
      <c r="D33" s="779"/>
      <c r="E33" s="551"/>
      <c r="F33" s="552"/>
    </row>
    <row r="34" spans="1:6" ht="17.100000000000001" customHeight="1">
      <c r="A34" s="406"/>
      <c r="B34" s="551"/>
      <c r="C34" s="551"/>
      <c r="D34" s="779"/>
      <c r="E34" s="551"/>
      <c r="F34" s="552"/>
    </row>
    <row r="35" spans="1:6" ht="17.100000000000001" customHeight="1">
      <c r="A35" s="406" t="s">
        <v>1237</v>
      </c>
      <c r="B35" s="551"/>
      <c r="C35" s="551"/>
      <c r="D35" s="779"/>
      <c r="E35" s="551"/>
      <c r="F35" s="552"/>
    </row>
    <row r="36" spans="1:6" ht="17.100000000000001" customHeight="1">
      <c r="A36" s="406"/>
      <c r="B36" s="551"/>
      <c r="C36" s="551"/>
      <c r="D36" s="779"/>
      <c r="E36" s="551"/>
      <c r="F36" s="552"/>
    </row>
    <row r="37" spans="1:6" ht="17.100000000000001" customHeight="1" thickBot="1">
      <c r="A37" s="408"/>
      <c r="B37" s="553"/>
      <c r="C37" s="553"/>
      <c r="D37" s="409"/>
      <c r="E37" s="553"/>
      <c r="F37" s="554"/>
    </row>
    <row r="38" spans="1:6">
      <c r="A38" s="464"/>
    </row>
    <row r="39" spans="1:6" ht="15.75" customHeight="1">
      <c r="A39" s="1779" t="s">
        <v>1523</v>
      </c>
      <c r="B39" s="1779"/>
      <c r="C39" s="1779"/>
      <c r="D39" s="1779"/>
      <c r="E39" s="1779"/>
      <c r="F39" s="1779"/>
    </row>
    <row r="40" spans="1:6" ht="46.5" customHeight="1">
      <c r="A40" s="1779" t="s">
        <v>1524</v>
      </c>
      <c r="B40" s="1779"/>
      <c r="C40" s="1779"/>
      <c r="D40" s="1779"/>
      <c r="E40" s="1779"/>
      <c r="F40" s="1779"/>
    </row>
    <row r="42" spans="1:6" ht="15.75">
      <c r="A42" s="465"/>
    </row>
  </sheetData>
  <mergeCells count="2">
    <mergeCell ref="A39:F39"/>
    <mergeCell ref="A40:F40"/>
  </mergeCells>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
  <sheetViews>
    <sheetView workbookViewId="0">
      <selection sqref="A1:C1"/>
    </sheetView>
  </sheetViews>
  <sheetFormatPr baseColWidth="10" defaultRowHeight="15"/>
  <cols>
    <col min="1" max="1" width="54.140625" customWidth="1"/>
    <col min="2" max="2" width="7.28515625" customWidth="1"/>
    <col min="3" max="3" width="68.7109375" customWidth="1"/>
  </cols>
  <sheetData>
    <row r="1" spans="1:4" ht="16.5" thickBot="1">
      <c r="A1" s="1780" t="s">
        <v>1238</v>
      </c>
      <c r="B1" s="1780"/>
      <c r="C1" s="1780"/>
      <c r="D1" s="468"/>
    </row>
    <row r="2" spans="1:4" s="539" customFormat="1" ht="14.1" customHeight="1">
      <c r="A2" s="557" t="s">
        <v>1239</v>
      </c>
      <c r="B2" s="558"/>
      <c r="C2" s="559" t="s">
        <v>1240</v>
      </c>
    </row>
    <row r="3" spans="1:4" s="539" customFormat="1" ht="14.1" customHeight="1">
      <c r="A3" s="560" t="s">
        <v>1241</v>
      </c>
      <c r="B3" s="561"/>
      <c r="C3" s="562" t="s">
        <v>1242</v>
      </c>
    </row>
    <row r="4" spans="1:4" s="539" customFormat="1" ht="14.1" customHeight="1">
      <c r="A4" s="560" t="s">
        <v>1243</v>
      </c>
      <c r="B4" s="561"/>
      <c r="C4" s="562" t="s">
        <v>1244</v>
      </c>
    </row>
    <row r="5" spans="1:4" s="539" customFormat="1" ht="14.1" customHeight="1">
      <c r="A5" s="560" t="s">
        <v>1245</v>
      </c>
      <c r="B5" s="561"/>
      <c r="C5" s="562" t="s">
        <v>1246</v>
      </c>
    </row>
    <row r="6" spans="1:4" s="539" customFormat="1" ht="14.1" customHeight="1">
      <c r="A6" s="560" t="s">
        <v>1247</v>
      </c>
      <c r="B6" s="561"/>
      <c r="C6" s="563" t="s">
        <v>1248</v>
      </c>
    </row>
    <row r="7" spans="1:4" s="539" customFormat="1" ht="14.1" customHeight="1">
      <c r="A7" s="560" t="s">
        <v>1249</v>
      </c>
      <c r="B7" s="561"/>
      <c r="C7" s="562" t="s">
        <v>1250</v>
      </c>
    </row>
    <row r="8" spans="1:4" s="539" customFormat="1" ht="14.1" customHeight="1">
      <c r="A8" s="560" t="s">
        <v>1251</v>
      </c>
      <c r="B8" s="561"/>
      <c r="C8" s="562" t="s">
        <v>1252</v>
      </c>
    </row>
    <row r="9" spans="1:4" s="539" customFormat="1" ht="14.1" customHeight="1">
      <c r="A9" s="564" t="s">
        <v>1253</v>
      </c>
      <c r="B9" s="561"/>
      <c r="C9" s="562" t="s">
        <v>1254</v>
      </c>
    </row>
    <row r="10" spans="1:4" s="539" customFormat="1" ht="14.1" customHeight="1">
      <c r="A10" s="560" t="s">
        <v>1255</v>
      </c>
      <c r="B10" s="561"/>
      <c r="C10" s="563" t="s">
        <v>1256</v>
      </c>
    </row>
    <row r="11" spans="1:4" s="539" customFormat="1" ht="14.1" customHeight="1">
      <c r="A11" s="560" t="s">
        <v>1257</v>
      </c>
      <c r="B11" s="561"/>
      <c r="C11" s="562" t="s">
        <v>1258</v>
      </c>
    </row>
    <row r="12" spans="1:4" s="539" customFormat="1" ht="14.1" customHeight="1">
      <c r="A12" s="560" t="s">
        <v>1259</v>
      </c>
      <c r="B12" s="561"/>
      <c r="C12" s="562" t="s">
        <v>1525</v>
      </c>
    </row>
    <row r="13" spans="1:4" s="539" customFormat="1" ht="14.1" customHeight="1">
      <c r="A13" s="560" t="s">
        <v>1260</v>
      </c>
      <c r="B13" s="561"/>
      <c r="C13" s="563" t="s">
        <v>1261</v>
      </c>
    </row>
    <row r="14" spans="1:4" s="539" customFormat="1" ht="14.1" customHeight="1">
      <c r="A14" s="560" t="s">
        <v>1262</v>
      </c>
      <c r="B14" s="561"/>
      <c r="C14" s="562" t="s">
        <v>1263</v>
      </c>
    </row>
    <row r="15" spans="1:4" s="539" customFormat="1" ht="14.1" customHeight="1">
      <c r="A15" s="560" t="s">
        <v>1264</v>
      </c>
      <c r="B15" s="561"/>
      <c r="C15" s="562" t="s">
        <v>1645</v>
      </c>
    </row>
    <row r="16" spans="1:4" s="539" customFormat="1" ht="14.1" customHeight="1">
      <c r="A16" s="560" t="s">
        <v>1265</v>
      </c>
      <c r="B16" s="561"/>
      <c r="C16" s="562" t="s">
        <v>1266</v>
      </c>
    </row>
    <row r="17" spans="1:3" s="539" customFormat="1" ht="19.5" customHeight="1">
      <c r="A17" s="560" t="s">
        <v>1267</v>
      </c>
      <c r="B17" s="561"/>
      <c r="C17" s="563" t="s">
        <v>1268</v>
      </c>
    </row>
    <row r="18" spans="1:3" s="539" customFormat="1" ht="14.1" customHeight="1">
      <c r="A18" s="560" t="s">
        <v>1269</v>
      </c>
      <c r="B18" s="561"/>
      <c r="C18" s="562" t="s">
        <v>1270</v>
      </c>
    </row>
    <row r="19" spans="1:3" s="539" customFormat="1" ht="14.1" customHeight="1">
      <c r="A19" s="560" t="s">
        <v>1271</v>
      </c>
      <c r="B19" s="561"/>
      <c r="C19" s="562" t="s">
        <v>1272</v>
      </c>
    </row>
    <row r="20" spans="1:3" s="539" customFormat="1" ht="14.1" customHeight="1">
      <c r="A20" s="560" t="s">
        <v>1273</v>
      </c>
      <c r="B20" s="561"/>
      <c r="C20" s="563" t="s">
        <v>1274</v>
      </c>
    </row>
    <row r="21" spans="1:3" s="539" customFormat="1" ht="14.1" customHeight="1">
      <c r="A21" s="564" t="s">
        <v>1275</v>
      </c>
      <c r="B21" s="561"/>
      <c r="C21" s="562" t="s">
        <v>1276</v>
      </c>
    </row>
    <row r="22" spans="1:3" s="539" customFormat="1" ht="14.1" customHeight="1">
      <c r="A22" s="560" t="s">
        <v>1277</v>
      </c>
      <c r="B22" s="561"/>
      <c r="C22" s="562" t="s">
        <v>1278</v>
      </c>
    </row>
    <row r="23" spans="1:3" s="539" customFormat="1" ht="14.1" customHeight="1">
      <c r="A23" s="560" t="s">
        <v>1279</v>
      </c>
      <c r="B23" s="561"/>
      <c r="C23" s="563" t="s">
        <v>1280</v>
      </c>
    </row>
    <row r="24" spans="1:3" s="539" customFormat="1" ht="14.1" customHeight="1">
      <c r="A24" s="560" t="s">
        <v>1281</v>
      </c>
      <c r="B24" s="561"/>
      <c r="C24" s="562" t="s">
        <v>1282</v>
      </c>
    </row>
    <row r="25" spans="1:3" s="539" customFormat="1" ht="14.1" customHeight="1">
      <c r="A25" s="560" t="s">
        <v>1283</v>
      </c>
      <c r="B25" s="561"/>
      <c r="C25" s="562" t="s">
        <v>1526</v>
      </c>
    </row>
    <row r="26" spans="1:3" s="539" customFormat="1" ht="14.1" customHeight="1">
      <c r="A26" s="560" t="s">
        <v>1284</v>
      </c>
      <c r="B26" s="561"/>
      <c r="C26" s="563" t="s">
        <v>1285</v>
      </c>
    </row>
    <row r="27" spans="1:3" s="539" customFormat="1" ht="14.1" customHeight="1">
      <c r="A27" s="564" t="s">
        <v>1286</v>
      </c>
      <c r="B27" s="561"/>
      <c r="C27" s="562" t="s">
        <v>1527</v>
      </c>
    </row>
    <row r="28" spans="1:3" s="539" customFormat="1" ht="14.1" customHeight="1">
      <c r="A28" s="560" t="s">
        <v>1287</v>
      </c>
      <c r="B28" s="561"/>
      <c r="C28" s="562" t="s">
        <v>1528</v>
      </c>
    </row>
    <row r="29" spans="1:3" s="539" customFormat="1" ht="14.1" customHeight="1">
      <c r="A29" s="560" t="s">
        <v>1288</v>
      </c>
      <c r="B29" s="561"/>
      <c r="C29" s="562" t="s">
        <v>1289</v>
      </c>
    </row>
    <row r="30" spans="1:3" s="539" customFormat="1" ht="14.1" customHeight="1">
      <c r="A30" s="564" t="s">
        <v>1290</v>
      </c>
      <c r="B30" s="561"/>
      <c r="C30" s="563" t="s">
        <v>1291</v>
      </c>
    </row>
    <row r="31" spans="1:3" s="539" customFormat="1" ht="14.1" customHeight="1">
      <c r="A31" s="560" t="s">
        <v>1292</v>
      </c>
      <c r="B31" s="561"/>
      <c r="C31" s="562" t="s">
        <v>1293</v>
      </c>
    </row>
    <row r="32" spans="1:3" s="539" customFormat="1" ht="14.1" customHeight="1">
      <c r="A32" s="560" t="s">
        <v>1294</v>
      </c>
      <c r="B32" s="561"/>
      <c r="C32" s="562" t="s">
        <v>1295</v>
      </c>
    </row>
    <row r="33" spans="1:3" s="539" customFormat="1" ht="14.1" customHeight="1">
      <c r="A33" s="564" t="s">
        <v>1296</v>
      </c>
      <c r="B33" s="561"/>
      <c r="C33" s="563" t="s">
        <v>1297</v>
      </c>
    </row>
    <row r="34" spans="1:3" s="539" customFormat="1" ht="14.1" customHeight="1">
      <c r="A34" s="560" t="s">
        <v>1298</v>
      </c>
      <c r="B34" s="561"/>
      <c r="C34" s="562" t="s">
        <v>1299</v>
      </c>
    </row>
    <row r="35" spans="1:3" s="539" customFormat="1" ht="14.1" customHeight="1">
      <c r="A35" s="560" t="s">
        <v>1300</v>
      </c>
      <c r="B35" s="561"/>
      <c r="C35" s="562" t="s">
        <v>1301</v>
      </c>
    </row>
    <row r="36" spans="1:3" s="539" customFormat="1" ht="14.1" customHeight="1">
      <c r="A36" s="564" t="s">
        <v>1302</v>
      </c>
      <c r="B36" s="561"/>
      <c r="C36" s="562" t="s">
        <v>1303</v>
      </c>
    </row>
    <row r="37" spans="1:3" s="539" customFormat="1" ht="14.1" customHeight="1">
      <c r="A37" s="560" t="s">
        <v>1304</v>
      </c>
      <c r="B37" s="561"/>
      <c r="C37" s="563" t="s">
        <v>1305</v>
      </c>
    </row>
    <row r="38" spans="1:3" s="539" customFormat="1" ht="14.1" customHeight="1">
      <c r="A38" s="560" t="s">
        <v>1306</v>
      </c>
      <c r="B38" s="561"/>
      <c r="C38" s="562" t="s">
        <v>1307</v>
      </c>
    </row>
    <row r="39" spans="1:3" s="539" customFormat="1" ht="14.1" customHeight="1">
      <c r="A39" s="564" t="s">
        <v>1308</v>
      </c>
      <c r="B39" s="561"/>
      <c r="C39" s="562" t="s">
        <v>1309</v>
      </c>
    </row>
    <row r="40" spans="1:3" s="539" customFormat="1" ht="14.1" customHeight="1">
      <c r="A40" s="560" t="s">
        <v>1310</v>
      </c>
      <c r="B40" s="561"/>
      <c r="C40" s="563" t="s">
        <v>1311</v>
      </c>
    </row>
    <row r="41" spans="1:3" s="539" customFormat="1" ht="14.1" customHeight="1">
      <c r="A41" s="564" t="s">
        <v>1312</v>
      </c>
      <c r="B41" s="561"/>
      <c r="C41" s="562" t="s">
        <v>1313</v>
      </c>
    </row>
    <row r="42" spans="1:3" s="539" customFormat="1" ht="14.1" customHeight="1">
      <c r="A42" s="560" t="s">
        <v>1314</v>
      </c>
      <c r="B42" s="561"/>
      <c r="C42" s="562" t="s">
        <v>1315</v>
      </c>
    </row>
    <row r="43" spans="1:3" s="539" customFormat="1" ht="14.1" customHeight="1">
      <c r="A43" s="560" t="s">
        <v>1316</v>
      </c>
      <c r="B43" s="561"/>
      <c r="C43" s="563" t="s">
        <v>1317</v>
      </c>
    </row>
    <row r="44" spans="1:3" s="539" customFormat="1" ht="14.1" customHeight="1">
      <c r="A44" s="564" t="s">
        <v>1318</v>
      </c>
      <c r="B44" s="561"/>
      <c r="C44" s="562" t="s">
        <v>1319</v>
      </c>
    </row>
    <row r="45" spans="1:3" s="539" customFormat="1" ht="14.1" customHeight="1">
      <c r="A45" s="560" t="s">
        <v>1320</v>
      </c>
      <c r="B45" s="561"/>
      <c r="C45" s="562" t="s">
        <v>1321</v>
      </c>
    </row>
    <row r="46" spans="1:3" s="539" customFormat="1" ht="14.1" customHeight="1">
      <c r="A46" s="560" t="s">
        <v>1322</v>
      </c>
      <c r="B46" s="561"/>
      <c r="C46" s="562" t="s">
        <v>1323</v>
      </c>
    </row>
    <row r="47" spans="1:3" s="539" customFormat="1" ht="14.1" customHeight="1">
      <c r="A47" s="564" t="s">
        <v>1324</v>
      </c>
      <c r="B47" s="561"/>
      <c r="C47" s="562" t="s">
        <v>1325</v>
      </c>
    </row>
    <row r="48" spans="1:3" s="539" customFormat="1" ht="14.1" customHeight="1">
      <c r="A48" s="560" t="s">
        <v>1326</v>
      </c>
      <c r="B48" s="561"/>
      <c r="C48" s="562" t="s">
        <v>1327</v>
      </c>
    </row>
    <row r="49" spans="1:3" s="539" customFormat="1" ht="14.1" customHeight="1">
      <c r="A49" s="560" t="s">
        <v>1328</v>
      </c>
      <c r="B49" s="561"/>
      <c r="C49" s="563" t="s">
        <v>1329</v>
      </c>
    </row>
    <row r="50" spans="1:3" s="539" customFormat="1" ht="14.1" customHeight="1">
      <c r="A50" s="564" t="s">
        <v>1330</v>
      </c>
      <c r="B50" s="561"/>
      <c r="C50" s="562" t="s">
        <v>1331</v>
      </c>
    </row>
    <row r="51" spans="1:3" s="539" customFormat="1" ht="14.1" customHeight="1">
      <c r="A51" s="560" t="s">
        <v>1332</v>
      </c>
      <c r="B51" s="561"/>
      <c r="C51" s="562" t="s">
        <v>1333</v>
      </c>
    </row>
    <row r="52" spans="1:3" s="539" customFormat="1" ht="14.1" customHeight="1">
      <c r="A52" s="564" t="s">
        <v>1334</v>
      </c>
      <c r="B52" s="561"/>
      <c r="C52" s="563" t="s">
        <v>1335</v>
      </c>
    </row>
    <row r="53" spans="1:3" s="539" customFormat="1" ht="14.1" customHeight="1">
      <c r="A53" s="560" t="s">
        <v>1336</v>
      </c>
      <c r="B53" s="561"/>
      <c r="C53" s="562" t="s">
        <v>1337</v>
      </c>
    </row>
    <row r="54" spans="1:3" s="539" customFormat="1" ht="14.1" customHeight="1">
      <c r="A54" s="560" t="s">
        <v>1338</v>
      </c>
      <c r="B54" s="561"/>
      <c r="C54" s="562" t="s">
        <v>1339</v>
      </c>
    </row>
    <row r="55" spans="1:3" s="539" customFormat="1" ht="14.1" customHeight="1">
      <c r="A55" s="560" t="s">
        <v>1340</v>
      </c>
      <c r="B55" s="561"/>
      <c r="C55" s="562" t="s">
        <v>1341</v>
      </c>
    </row>
    <row r="56" spans="1:3" s="539" customFormat="1" ht="14.1" customHeight="1">
      <c r="A56" s="564" t="s">
        <v>1342</v>
      </c>
      <c r="B56" s="561"/>
      <c r="C56" s="563" t="s">
        <v>1343</v>
      </c>
    </row>
    <row r="57" spans="1:3" s="539" customFormat="1" ht="14.1" customHeight="1">
      <c r="A57" s="560" t="s">
        <v>1344</v>
      </c>
      <c r="B57" s="561"/>
      <c r="C57" s="562" t="s">
        <v>1345</v>
      </c>
    </row>
    <row r="58" spans="1:3" s="539" customFormat="1" ht="14.1" customHeight="1">
      <c r="A58" s="560" t="s">
        <v>1346</v>
      </c>
      <c r="B58" s="561"/>
      <c r="C58" s="562" t="s">
        <v>1347</v>
      </c>
    </row>
    <row r="59" spans="1:3" s="539" customFormat="1" ht="14.1" customHeight="1">
      <c r="A59" s="560" t="s">
        <v>1348</v>
      </c>
      <c r="B59" s="561"/>
      <c r="C59" s="563" t="s">
        <v>1349</v>
      </c>
    </row>
    <row r="60" spans="1:3" s="539" customFormat="1" ht="14.1" customHeight="1">
      <c r="A60" s="564" t="s">
        <v>1350</v>
      </c>
      <c r="B60" s="561"/>
      <c r="C60" s="562" t="s">
        <v>1351</v>
      </c>
    </row>
    <row r="61" spans="1:3" s="539" customFormat="1" ht="14.1" customHeight="1">
      <c r="A61" s="560" t="s">
        <v>1352</v>
      </c>
      <c r="B61" s="561"/>
      <c r="C61" s="562" t="s">
        <v>1353</v>
      </c>
    </row>
    <row r="62" spans="1:3" s="539" customFormat="1" ht="14.1" customHeight="1">
      <c r="A62" s="564" t="s">
        <v>1354</v>
      </c>
      <c r="B62" s="561"/>
      <c r="C62" s="562" t="s">
        <v>1355</v>
      </c>
    </row>
    <row r="63" spans="1:3" s="539" customFormat="1" ht="14.1" customHeight="1">
      <c r="A63" s="560" t="s">
        <v>1356</v>
      </c>
      <c r="B63" s="561"/>
      <c r="C63" s="563" t="s">
        <v>1357</v>
      </c>
    </row>
    <row r="64" spans="1:3" s="539" customFormat="1" ht="14.1" customHeight="1">
      <c r="A64" s="560" t="s">
        <v>1358</v>
      </c>
      <c r="B64" s="561"/>
      <c r="C64" s="562" t="s">
        <v>1359</v>
      </c>
    </row>
    <row r="65" spans="1:3" s="539" customFormat="1" ht="14.1" customHeight="1">
      <c r="A65" s="564" t="s">
        <v>1360</v>
      </c>
      <c r="B65" s="561"/>
      <c r="C65" s="562" t="s">
        <v>1361</v>
      </c>
    </row>
    <row r="66" spans="1:3" s="539" customFormat="1" ht="14.1" customHeight="1">
      <c r="A66" s="560" t="s">
        <v>1362</v>
      </c>
      <c r="B66" s="561"/>
      <c r="C66" s="562" t="s">
        <v>1363</v>
      </c>
    </row>
    <row r="67" spans="1:3" s="539" customFormat="1" ht="14.1" customHeight="1">
      <c r="A67" s="560" t="s">
        <v>1364</v>
      </c>
      <c r="B67" s="561"/>
      <c r="C67" s="563" t="s">
        <v>1365</v>
      </c>
    </row>
    <row r="68" spans="1:3" s="539" customFormat="1" ht="14.1" customHeight="1">
      <c r="A68" s="564" t="s">
        <v>1366</v>
      </c>
      <c r="B68" s="561"/>
      <c r="C68" s="562" t="s">
        <v>1367</v>
      </c>
    </row>
    <row r="69" spans="1:3" s="539" customFormat="1" ht="14.1" customHeight="1">
      <c r="A69" s="560" t="s">
        <v>1368</v>
      </c>
      <c r="B69" s="561"/>
      <c r="C69" s="563" t="s">
        <v>1369</v>
      </c>
    </row>
    <row r="70" spans="1:3" s="539" customFormat="1" ht="14.1" customHeight="1">
      <c r="A70" s="560" t="s">
        <v>1370</v>
      </c>
      <c r="B70" s="561"/>
      <c r="C70" s="562" t="s">
        <v>1371</v>
      </c>
    </row>
    <row r="71" spans="1:3" s="539" customFormat="1" ht="14.1" customHeight="1">
      <c r="A71" s="560" t="s">
        <v>1372</v>
      </c>
      <c r="B71" s="561"/>
      <c r="C71" s="562" t="s">
        <v>1373</v>
      </c>
    </row>
    <row r="72" spans="1:3" s="539" customFormat="1" ht="14.1" customHeight="1">
      <c r="A72" s="564" t="s">
        <v>1374</v>
      </c>
      <c r="B72" s="561"/>
      <c r="C72" s="562" t="s">
        <v>1375</v>
      </c>
    </row>
    <row r="73" spans="1:3" s="539" customFormat="1" ht="14.1" customHeight="1">
      <c r="A73" s="560" t="s">
        <v>1376</v>
      </c>
      <c r="B73" s="561"/>
      <c r="C73" s="563" t="s">
        <v>1377</v>
      </c>
    </row>
    <row r="74" spans="1:3" s="539" customFormat="1" ht="14.1" customHeight="1">
      <c r="A74" s="560" t="s">
        <v>1378</v>
      </c>
      <c r="B74" s="561"/>
      <c r="C74" s="562" t="s">
        <v>1379</v>
      </c>
    </row>
    <row r="75" spans="1:3" s="539" customFormat="1" ht="14.1" customHeight="1">
      <c r="A75" s="564" t="s">
        <v>1380</v>
      </c>
      <c r="B75" s="561"/>
      <c r="C75" s="562" t="s">
        <v>1381</v>
      </c>
    </row>
    <row r="76" spans="1:3" s="539" customFormat="1" ht="14.1" customHeight="1">
      <c r="A76" s="560" t="s">
        <v>1382</v>
      </c>
      <c r="B76" s="561"/>
      <c r="C76" s="562" t="s">
        <v>1383</v>
      </c>
    </row>
    <row r="77" spans="1:3" s="539" customFormat="1" ht="14.1" customHeight="1">
      <c r="A77" s="564" t="s">
        <v>1384</v>
      </c>
      <c r="B77" s="561"/>
      <c r="C77" s="562" t="s">
        <v>1385</v>
      </c>
    </row>
    <row r="78" spans="1:3" s="539" customFormat="1" ht="14.1" customHeight="1">
      <c r="A78" s="560" t="s">
        <v>1386</v>
      </c>
      <c r="B78" s="561"/>
      <c r="C78" s="562" t="s">
        <v>1387</v>
      </c>
    </row>
    <row r="79" spans="1:3" s="539" customFormat="1" ht="14.1" customHeight="1">
      <c r="A79" s="560" t="s">
        <v>1388</v>
      </c>
      <c r="B79" s="561"/>
      <c r="C79" s="563" t="s">
        <v>1389</v>
      </c>
    </row>
    <row r="80" spans="1:3" s="539" customFormat="1" ht="14.1" customHeight="1">
      <c r="A80" s="560" t="s">
        <v>1390</v>
      </c>
      <c r="B80" s="561"/>
      <c r="C80" s="562" t="s">
        <v>1391</v>
      </c>
    </row>
    <row r="81" spans="1:3" s="539" customFormat="1" ht="14.1" customHeight="1">
      <c r="A81" s="560" t="s">
        <v>1392</v>
      </c>
      <c r="B81" s="561"/>
      <c r="C81" s="563" t="s">
        <v>1393</v>
      </c>
    </row>
    <row r="82" spans="1:3" s="539" customFormat="1" ht="14.1" customHeight="1" thickBot="1">
      <c r="A82" s="565" t="s">
        <v>1394</v>
      </c>
      <c r="B82" s="566"/>
      <c r="C82" s="567" t="s">
        <v>1395</v>
      </c>
    </row>
    <row r="83" spans="1:3" s="539" customFormat="1">
      <c r="A83" s="556"/>
      <c r="B83" s="556"/>
      <c r="C83" s="556"/>
    </row>
    <row r="84" spans="1:3">
      <c r="A84" s="556"/>
      <c r="B84" s="555"/>
      <c r="C84" s="555"/>
    </row>
    <row r="85" spans="1:3">
      <c r="A85" s="555"/>
      <c r="B85" s="555"/>
      <c r="C85" s="555"/>
    </row>
    <row r="86" spans="1:3">
      <c r="A86" s="555"/>
      <c r="B86" s="555"/>
      <c r="C86" s="555"/>
    </row>
  </sheetData>
  <mergeCells count="1">
    <mergeCell ref="A1:C1"/>
  </mergeCells>
  <pageMargins left="0.70866141732283472" right="0.70866141732283472" top="0.74803149606299213" bottom="0.74803149606299213" header="0.31496062992125984" footer="0.31496062992125984"/>
  <pageSetup paperSize="9"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56</vt:i4>
      </vt:variant>
      <vt:variant>
        <vt:lpstr>Plages nommées</vt:lpstr>
      </vt:variant>
      <vt:variant>
        <vt:i4>6</vt:i4>
      </vt:variant>
    </vt:vector>
  </HeadingPairs>
  <TitlesOfParts>
    <vt:vector size="62" baseType="lpstr">
      <vt:lpstr>PAGE DE GARDE</vt:lpstr>
      <vt:lpstr>FICHE R1 </vt:lpstr>
      <vt:lpstr>FICHE R2 </vt:lpstr>
      <vt:lpstr>FICHE R3 </vt:lpstr>
      <vt:lpstr>FICHE R4</vt:lpstr>
      <vt:lpstr>ACTIF</vt:lpstr>
      <vt:lpstr>PASSIF</vt:lpstr>
      <vt:lpstr>RESULTAT</vt:lpstr>
      <vt:lpstr>TFT</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NOTES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vt:lpstr>
      <vt:lpstr>'FICHE R3 '!Print_Area</vt:lpstr>
      <vt:lpstr>'NOTE 15A'!Print_Area</vt:lpstr>
      <vt:lpstr>'NOTE 30'!Print_Area</vt:lpstr>
      <vt:lpstr>'NOTE 3E'!Print_Area</vt:lpstr>
      <vt:lpstr>'NOTE 4'!Print_Area</vt:lpstr>
      <vt:lpstr>'NOTE 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cp:lastPrinted>2019-04-30T14:30:44Z</cp:lastPrinted>
  <dcterms:created xsi:type="dcterms:W3CDTF">2017-10-25T12:04:05Z</dcterms:created>
  <dcterms:modified xsi:type="dcterms:W3CDTF">2026-03-01T15:06:00Z</dcterms:modified>
</cp:coreProperties>
</file>